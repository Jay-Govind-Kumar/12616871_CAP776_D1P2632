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6A38D32A-3BBD-4E73-8177-6E9B10E8EBD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18" i="2"/>
  <c r="J18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<sst xmlns="http://schemas.openxmlformats.org/spreadsheetml/2006/main" count="155" uniqueCount="85">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</sst>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E36" sqref="E36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9" t="s">
        <v>29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ht="19.5" customHeight="1" x14ac:dyDescent="0.3">
      <c r="A2" s="6" t="s">
        <v>30</v>
      </c>
      <c r="B2" s="30" t="s">
        <v>58</v>
      </c>
      <c r="C2" s="30"/>
      <c r="D2" s="30"/>
      <c r="E2" s="6" t="s">
        <v>31</v>
      </c>
      <c r="F2" s="30">
        <v>12616871</v>
      </c>
      <c r="G2" s="30"/>
    </row>
    <row r="3" spans="1:14" ht="19.5" customHeight="1" x14ac:dyDescent="0.3">
      <c r="A3" s="6" t="s">
        <v>32</v>
      </c>
      <c r="B3" s="30" t="s">
        <v>59</v>
      </c>
      <c r="C3" s="30"/>
      <c r="D3" s="30"/>
      <c r="E3" s="6" t="s">
        <v>33</v>
      </c>
      <c r="F3" s="30" t="s">
        <v>60</v>
      </c>
      <c r="G3" s="30"/>
    </row>
    <row r="4" spans="1:14" x14ac:dyDescent="0.3">
      <c r="A4" s="28" t="s">
        <v>34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480</v>
      </c>
      <c r="C6" s="9">
        <v>45</v>
      </c>
      <c r="D6" s="9">
        <v>120</v>
      </c>
      <c r="E6" s="9">
        <v>90</v>
      </c>
      <c r="F6" s="9">
        <v>250</v>
      </c>
      <c r="G6" s="9">
        <v>5</v>
      </c>
      <c r="H6" s="9">
        <v>30</v>
      </c>
      <c r="I6" s="10">
        <f t="shared" ref="I6:I17" si="0">IF(SUM(B6:F6,H6)=0,"",SUM(B6:F6,H6))</f>
        <v>1015</v>
      </c>
      <c r="J6" s="10">
        <f t="shared" ref="J6:J67" si="1">IF(I6="","",1440-I6)</f>
        <v>425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46253</v>
      </c>
      <c r="B7" s="9">
        <v>350</v>
      </c>
      <c r="C7" s="9">
        <v>80</v>
      </c>
      <c r="D7" s="9">
        <v>90</v>
      </c>
      <c r="E7" s="9">
        <v>30</v>
      </c>
      <c r="F7" s="9">
        <v>350</v>
      </c>
      <c r="G7" s="9">
        <v>7</v>
      </c>
      <c r="H7" s="9">
        <v>210</v>
      </c>
      <c r="I7" s="10">
        <f t="shared" si="0"/>
        <v>1110</v>
      </c>
      <c r="J7" s="10">
        <f>IF(I7="","",1440-I7)</f>
        <v>330</v>
      </c>
      <c r="K7" s="11" t="s">
        <v>49</v>
      </c>
      <c r="L7" s="11" t="s">
        <v>53</v>
      </c>
      <c r="M7" s="11" t="s">
        <v>51</v>
      </c>
      <c r="N7" s="12" t="s">
        <v>57</v>
      </c>
    </row>
    <row r="8" spans="1:14" ht="28.8" x14ac:dyDescent="0.3">
      <c r="A8" s="8">
        <v>46254</v>
      </c>
      <c r="B8" s="9">
        <v>300</v>
      </c>
      <c r="C8" s="9">
        <v>50</v>
      </c>
      <c r="D8" s="9">
        <v>135</v>
      </c>
      <c r="E8" s="9">
        <v>60</v>
      </c>
      <c r="F8" s="9">
        <v>150</v>
      </c>
      <c r="G8" s="9">
        <v>3</v>
      </c>
      <c r="H8" s="9">
        <v>420</v>
      </c>
      <c r="I8" s="10">
        <f>IF(SUM(B8:F8,H8)=0,"",SUM(B8:F8,H8))</f>
        <v>1115</v>
      </c>
      <c r="J8" s="10">
        <f t="shared" si="1"/>
        <v>325</v>
      </c>
      <c r="K8" s="11" t="s">
        <v>61</v>
      </c>
      <c r="L8" s="11" t="s">
        <v>50</v>
      </c>
      <c r="M8" s="11" t="s">
        <v>54</v>
      </c>
      <c r="N8" s="12" t="s">
        <v>56</v>
      </c>
    </row>
    <row r="9" spans="1:14" x14ac:dyDescent="0.3">
      <c r="A9" s="8">
        <v>46255</v>
      </c>
      <c r="B9" s="9">
        <v>210</v>
      </c>
      <c r="C9" s="9">
        <v>95</v>
      </c>
      <c r="D9" s="9">
        <v>135</v>
      </c>
      <c r="E9" s="9">
        <v>72</v>
      </c>
      <c r="F9" s="9">
        <v>250</v>
      </c>
      <c r="G9" s="9">
        <v>5</v>
      </c>
      <c r="H9" s="9">
        <v>270</v>
      </c>
      <c r="I9" s="10">
        <f t="shared" si="0"/>
        <v>1032</v>
      </c>
      <c r="J9" s="10">
        <f>IF(I9="","",1440-I9)</f>
        <v>408</v>
      </c>
      <c r="K9" s="11" t="s">
        <v>53</v>
      </c>
      <c r="L9" s="11" t="s">
        <v>53</v>
      </c>
      <c r="M9" s="11" t="s">
        <v>63</v>
      </c>
      <c r="N9" s="12" t="s">
        <v>66</v>
      </c>
    </row>
    <row r="10" spans="1:14" ht="57.6" x14ac:dyDescent="0.3">
      <c r="A10" s="8">
        <v>46256</v>
      </c>
      <c r="B10" s="9">
        <v>75</v>
      </c>
      <c r="C10" s="9">
        <v>125</v>
      </c>
      <c r="D10" s="9">
        <v>210</v>
      </c>
      <c r="E10" s="9">
        <v>0</v>
      </c>
      <c r="F10" s="9">
        <v>0</v>
      </c>
      <c r="G10" s="9">
        <v>0</v>
      </c>
      <c r="H10" s="9">
        <v>584</v>
      </c>
      <c r="I10" s="10">
        <f t="shared" si="0"/>
        <v>994</v>
      </c>
      <c r="J10" s="10">
        <f t="shared" si="1"/>
        <v>446</v>
      </c>
      <c r="K10" s="11" t="s">
        <v>49</v>
      </c>
      <c r="L10" s="11" t="s">
        <v>62</v>
      </c>
      <c r="M10" s="11" t="s">
        <v>54</v>
      </c>
      <c r="N10" s="12" t="s">
        <v>65</v>
      </c>
    </row>
    <row r="11" spans="1:14" ht="28.8" x14ac:dyDescent="0.3">
      <c r="A11" s="8">
        <v>46257</v>
      </c>
      <c r="B11" s="9">
        <v>320</v>
      </c>
      <c r="C11" s="9">
        <v>30</v>
      </c>
      <c r="D11" s="9">
        <v>75</v>
      </c>
      <c r="E11" s="9">
        <v>93</v>
      </c>
      <c r="F11" s="9">
        <v>0</v>
      </c>
      <c r="G11" s="9">
        <v>0</v>
      </c>
      <c r="H11" s="9">
        <v>345</v>
      </c>
      <c r="I11" s="10">
        <f t="shared" si="0"/>
        <v>863</v>
      </c>
      <c r="J11" s="10">
        <f t="shared" si="1"/>
        <v>577</v>
      </c>
      <c r="K11" s="11" t="s">
        <v>61</v>
      </c>
      <c r="L11" s="11" t="s">
        <v>62</v>
      </c>
      <c r="M11" s="11" t="s">
        <v>54</v>
      </c>
      <c r="N11" s="12" t="s">
        <v>64</v>
      </c>
    </row>
    <row r="12" spans="1:14" x14ac:dyDescent="0.3">
      <c r="A12" s="8">
        <v>46258</v>
      </c>
      <c r="B12" s="9">
        <v>280</v>
      </c>
      <c r="C12" s="9">
        <v>48</v>
      </c>
      <c r="D12" s="9">
        <v>150</v>
      </c>
      <c r="E12" s="9">
        <v>60</v>
      </c>
      <c r="F12" s="9">
        <v>250</v>
      </c>
      <c r="G12" s="9">
        <v>5</v>
      </c>
      <c r="H12" s="9">
        <v>100</v>
      </c>
      <c r="I12" s="10">
        <f t="shared" si="0"/>
        <v>888</v>
      </c>
      <c r="J12" s="10">
        <f t="shared" si="1"/>
        <v>552</v>
      </c>
      <c r="K12" s="11" t="s">
        <v>49</v>
      </c>
      <c r="L12" s="11" t="s">
        <v>50</v>
      </c>
      <c r="M12" s="11" t="s">
        <v>51</v>
      </c>
      <c r="N12" s="12" t="s">
        <v>67</v>
      </c>
    </row>
    <row r="13" spans="1:14" ht="28.8" x14ac:dyDescent="0.3">
      <c r="A13" s="8">
        <v>46259</v>
      </c>
      <c r="B13" s="9">
        <v>270</v>
      </c>
      <c r="C13" s="9">
        <v>65</v>
      </c>
      <c r="D13" s="9">
        <v>150</v>
      </c>
      <c r="E13" s="9">
        <v>100</v>
      </c>
      <c r="F13" s="9">
        <v>150</v>
      </c>
      <c r="G13" s="9">
        <v>3</v>
      </c>
      <c r="H13" s="9">
        <v>200</v>
      </c>
      <c r="I13" s="10">
        <f t="shared" si="0"/>
        <v>935</v>
      </c>
      <c r="J13" s="10">
        <f t="shared" si="1"/>
        <v>505</v>
      </c>
      <c r="K13" s="11" t="s">
        <v>61</v>
      </c>
      <c r="L13" s="11" t="s">
        <v>62</v>
      </c>
      <c r="M13" s="11" t="s">
        <v>54</v>
      </c>
      <c r="N13" s="12" t="s">
        <v>72</v>
      </c>
    </row>
    <row r="14" spans="1:14" ht="28.8" x14ac:dyDescent="0.3">
      <c r="A14" s="8">
        <v>46260</v>
      </c>
      <c r="B14" s="9">
        <v>450</v>
      </c>
      <c r="C14" s="9">
        <v>80</v>
      </c>
      <c r="D14" s="9">
        <v>70</v>
      </c>
      <c r="E14" s="9">
        <v>150</v>
      </c>
      <c r="F14" s="9">
        <v>8</v>
      </c>
      <c r="G14" s="9">
        <v>400</v>
      </c>
      <c r="H14" s="9">
        <v>150</v>
      </c>
      <c r="I14" s="10">
        <f t="shared" si="0"/>
        <v>908</v>
      </c>
      <c r="J14" s="10">
        <f t="shared" si="1"/>
        <v>532</v>
      </c>
      <c r="K14" s="11" t="s">
        <v>63</v>
      </c>
      <c r="L14" s="11" t="s">
        <v>68</v>
      </c>
      <c r="M14" s="11" t="s">
        <v>63</v>
      </c>
      <c r="N14" s="12" t="s">
        <v>69</v>
      </c>
    </row>
    <row r="15" spans="1:14" x14ac:dyDescent="0.3">
      <c r="A15" s="8">
        <v>46261</v>
      </c>
      <c r="B15" s="9">
        <v>320</v>
      </c>
      <c r="C15" s="9">
        <v>100</v>
      </c>
      <c r="D15" s="9">
        <v>300</v>
      </c>
      <c r="E15" s="9">
        <v>90</v>
      </c>
      <c r="F15" s="9">
        <v>3</v>
      </c>
      <c r="G15" s="9">
        <v>150</v>
      </c>
      <c r="H15" s="9">
        <v>150</v>
      </c>
      <c r="I15" s="10">
        <f t="shared" si="0"/>
        <v>963</v>
      </c>
      <c r="J15" s="10">
        <f t="shared" si="1"/>
        <v>477</v>
      </c>
      <c r="K15" s="11" t="s">
        <v>61</v>
      </c>
      <c r="L15" s="11" t="s">
        <v>62</v>
      </c>
      <c r="M15" s="11" t="s">
        <v>51</v>
      </c>
      <c r="N15" s="12" t="s">
        <v>70</v>
      </c>
    </row>
    <row r="16" spans="1:14" ht="43.2" x14ac:dyDescent="0.3">
      <c r="A16" s="8">
        <v>46262</v>
      </c>
      <c r="B16" s="9">
        <v>300</v>
      </c>
      <c r="C16" s="9">
        <v>120</v>
      </c>
      <c r="D16" s="9">
        <v>60</v>
      </c>
      <c r="E16" s="9">
        <v>0</v>
      </c>
      <c r="F16" s="9">
        <v>250</v>
      </c>
      <c r="G16" s="9">
        <v>5</v>
      </c>
      <c r="H16" s="9">
        <v>150</v>
      </c>
      <c r="I16" s="10">
        <f t="shared" si="0"/>
        <v>880</v>
      </c>
      <c r="J16" s="10">
        <f t="shared" si="1"/>
        <v>560</v>
      </c>
      <c r="K16" s="11" t="s">
        <v>63</v>
      </c>
      <c r="L16" s="11" t="s">
        <v>71</v>
      </c>
      <c r="M16" s="11" t="s">
        <v>51</v>
      </c>
      <c r="N16" s="12" t="s">
        <v>73</v>
      </c>
    </row>
    <row r="17" spans="1:14" x14ac:dyDescent="0.3">
      <c r="A17" s="8">
        <v>46263</v>
      </c>
      <c r="B17" s="9">
        <v>350</v>
      </c>
      <c r="C17" s="9">
        <v>60</v>
      </c>
      <c r="D17" s="9">
        <v>300</v>
      </c>
      <c r="E17" s="9">
        <v>120</v>
      </c>
      <c r="F17" s="9">
        <v>0</v>
      </c>
      <c r="G17" s="9">
        <v>0</v>
      </c>
      <c r="H17" s="9">
        <v>250</v>
      </c>
      <c r="I17" s="10">
        <f t="shared" si="0"/>
        <v>1080</v>
      </c>
      <c r="J17" s="10">
        <f t="shared" si="1"/>
        <v>360</v>
      </c>
      <c r="K17" s="11" t="s">
        <v>49</v>
      </c>
      <c r="L17" s="11" t="s">
        <v>50</v>
      </c>
      <c r="M17" s="11" t="s">
        <v>54</v>
      </c>
      <c r="N17" s="12" t="s">
        <v>74</v>
      </c>
    </row>
    <row r="18" spans="1:14" x14ac:dyDescent="0.3">
      <c r="A18" s="8">
        <v>46264</v>
      </c>
      <c r="B18" s="9">
        <v>440</v>
      </c>
      <c r="C18" s="9">
        <v>45</v>
      </c>
      <c r="D18" s="9">
        <v>270</v>
      </c>
      <c r="E18" s="9">
        <v>90</v>
      </c>
      <c r="F18" s="9">
        <v>0</v>
      </c>
      <c r="G18" s="9">
        <v>0</v>
      </c>
      <c r="H18" s="9">
        <v>400</v>
      </c>
      <c r="I18" s="10">
        <f t="shared" ref="I18:I80" si="2">IF(SUM(B18:F18,H18)=0,"",SUM(B18:F18,H18))</f>
        <v>1245</v>
      </c>
      <c r="J18" s="10">
        <f t="shared" si="1"/>
        <v>195</v>
      </c>
      <c r="K18" s="11" t="s">
        <v>53</v>
      </c>
      <c r="L18" s="11" t="s">
        <v>53</v>
      </c>
      <c r="M18" s="11" t="s">
        <v>63</v>
      </c>
      <c r="N18" s="12" t="s">
        <v>75</v>
      </c>
    </row>
    <row r="19" spans="1:14" x14ac:dyDescent="0.3">
      <c r="A19" s="18">
        <v>46265</v>
      </c>
      <c r="B19" s="19">
        <v>230</v>
      </c>
      <c r="C19" s="19">
        <v>90</v>
      </c>
      <c r="D19" s="19">
        <v>90</v>
      </c>
      <c r="E19" s="19">
        <v>120</v>
      </c>
      <c r="F19" s="19">
        <v>300</v>
      </c>
      <c r="G19" s="19">
        <v>6</v>
      </c>
      <c r="H19" s="19">
        <v>270</v>
      </c>
      <c r="I19" s="20">
        <f t="shared" si="2"/>
        <v>1100</v>
      </c>
      <c r="J19" s="20">
        <f t="shared" si="1"/>
        <v>340</v>
      </c>
      <c r="K19" s="21" t="s">
        <v>49</v>
      </c>
      <c r="L19" s="21" t="s">
        <v>50</v>
      </c>
      <c r="M19" s="21" t="s">
        <v>51</v>
      </c>
      <c r="N19" s="22" t="s">
        <v>76</v>
      </c>
    </row>
    <row r="20" spans="1:14" x14ac:dyDescent="0.3">
      <c r="A20" s="23">
        <v>46266</v>
      </c>
      <c r="B20" s="24">
        <v>450</v>
      </c>
      <c r="C20" s="24">
        <v>80</v>
      </c>
      <c r="D20" s="24">
        <v>130</v>
      </c>
      <c r="E20" s="24">
        <v>45</v>
      </c>
      <c r="F20" s="24">
        <v>150</v>
      </c>
      <c r="G20" s="24">
        <v>3</v>
      </c>
      <c r="H20" s="24">
        <v>260</v>
      </c>
      <c r="I20" s="25">
        <f t="shared" si="2"/>
        <v>1115</v>
      </c>
      <c r="J20" s="25">
        <f t="shared" si="1"/>
        <v>325</v>
      </c>
      <c r="K20" s="26" t="s">
        <v>61</v>
      </c>
      <c r="L20" s="26" t="s">
        <v>62</v>
      </c>
      <c r="M20" s="26" t="s">
        <v>54</v>
      </c>
      <c r="N20" s="27"/>
    </row>
    <row r="21" spans="1:14" x14ac:dyDescent="0.3">
      <c r="A21" s="8">
        <v>46267</v>
      </c>
      <c r="B21" s="9">
        <v>400</v>
      </c>
      <c r="C21" s="9">
        <v>35</v>
      </c>
      <c r="D21" s="9">
        <v>150</v>
      </c>
      <c r="E21" s="9">
        <v>100</v>
      </c>
      <c r="F21" s="9">
        <v>400</v>
      </c>
      <c r="G21" s="9">
        <v>8</v>
      </c>
      <c r="H21" s="9">
        <v>90</v>
      </c>
      <c r="I21" s="10">
        <f t="shared" si="2"/>
        <v>1175</v>
      </c>
      <c r="J21" s="10">
        <f t="shared" si="1"/>
        <v>265</v>
      </c>
      <c r="K21" s="11" t="s">
        <v>49</v>
      </c>
      <c r="L21" s="11" t="s">
        <v>50</v>
      </c>
      <c r="M21" s="11" t="s">
        <v>63</v>
      </c>
      <c r="N21" s="12" t="s">
        <v>77</v>
      </c>
    </row>
    <row r="22" spans="1:14" x14ac:dyDescent="0.3">
      <c r="A22" s="8">
        <v>46268</v>
      </c>
      <c r="B22" s="9">
        <v>420</v>
      </c>
      <c r="C22" s="9">
        <v>150</v>
      </c>
      <c r="D22" s="9">
        <v>60</v>
      </c>
      <c r="E22" s="9">
        <v>100</v>
      </c>
      <c r="F22" s="9">
        <v>300</v>
      </c>
      <c r="G22" s="9">
        <v>6</v>
      </c>
      <c r="H22" s="9">
        <v>80</v>
      </c>
      <c r="I22" s="10">
        <f t="shared" si="2"/>
        <v>1110</v>
      </c>
      <c r="J22" s="10">
        <f t="shared" si="1"/>
        <v>330</v>
      </c>
      <c r="K22" s="11" t="s">
        <v>61</v>
      </c>
      <c r="L22" s="11" t="s">
        <v>50</v>
      </c>
      <c r="M22" s="11" t="s">
        <v>51</v>
      </c>
      <c r="N22" s="12" t="s">
        <v>78</v>
      </c>
    </row>
    <row r="23" spans="1:14" x14ac:dyDescent="0.3">
      <c r="A23" s="8">
        <v>46269</v>
      </c>
      <c r="B23" s="9">
        <v>370</v>
      </c>
      <c r="C23" s="9">
        <v>180</v>
      </c>
      <c r="D23" s="9">
        <v>180</v>
      </c>
      <c r="E23" s="9">
        <v>70</v>
      </c>
      <c r="F23" s="9">
        <v>250</v>
      </c>
      <c r="G23" s="9">
        <v>5</v>
      </c>
      <c r="H23" s="9">
        <v>100</v>
      </c>
      <c r="I23" s="10">
        <f t="shared" si="2"/>
        <v>1150</v>
      </c>
      <c r="J23" s="10">
        <f t="shared" si="1"/>
        <v>290</v>
      </c>
      <c r="K23" s="11" t="s">
        <v>49</v>
      </c>
      <c r="L23" s="11" t="s">
        <v>50</v>
      </c>
      <c r="M23" s="11" t="s">
        <v>51</v>
      </c>
      <c r="N23" s="12" t="s">
        <v>67</v>
      </c>
    </row>
    <row r="24" spans="1:14" x14ac:dyDescent="0.3">
      <c r="A24" s="8">
        <v>46270</v>
      </c>
      <c r="B24" s="9">
        <v>500</v>
      </c>
      <c r="C24" s="9">
        <v>200</v>
      </c>
      <c r="D24" s="9">
        <v>120</v>
      </c>
      <c r="E24" s="9">
        <v>60</v>
      </c>
      <c r="F24" s="9">
        <v>0</v>
      </c>
      <c r="G24" s="9">
        <v>0</v>
      </c>
      <c r="H24" s="9">
        <v>190</v>
      </c>
      <c r="I24" s="10">
        <f t="shared" si="2"/>
        <v>1070</v>
      </c>
      <c r="J24" s="10">
        <f t="shared" si="1"/>
        <v>370</v>
      </c>
      <c r="K24" s="11" t="s">
        <v>49</v>
      </c>
      <c r="L24" s="11" t="s">
        <v>53</v>
      </c>
      <c r="M24" s="11" t="s">
        <v>51</v>
      </c>
      <c r="N24" s="12" t="s">
        <v>79</v>
      </c>
    </row>
    <row r="25" spans="1:14" ht="28.8" x14ac:dyDescent="0.3">
      <c r="A25" s="8">
        <v>46271</v>
      </c>
      <c r="B25" s="9">
        <v>385</v>
      </c>
      <c r="C25" s="9">
        <v>135</v>
      </c>
      <c r="D25" s="9">
        <v>200</v>
      </c>
      <c r="E25" s="9">
        <v>120</v>
      </c>
      <c r="F25" s="9">
        <v>0</v>
      </c>
      <c r="G25" s="9">
        <v>0</v>
      </c>
      <c r="H25" s="9">
        <v>150</v>
      </c>
      <c r="I25" s="10">
        <f t="shared" si="2"/>
        <v>990</v>
      </c>
      <c r="J25" s="10">
        <f t="shared" si="1"/>
        <v>450</v>
      </c>
      <c r="K25" s="11" t="s">
        <v>53</v>
      </c>
      <c r="L25" s="11" t="s">
        <v>50</v>
      </c>
      <c r="M25" s="11" t="s">
        <v>51</v>
      </c>
      <c r="N25" s="12" t="s">
        <v>82</v>
      </c>
    </row>
    <row r="26" spans="1:14" x14ac:dyDescent="0.3">
      <c r="A26" s="8">
        <v>46272</v>
      </c>
      <c r="B26" s="9">
        <v>400</v>
      </c>
      <c r="C26" s="9">
        <v>180</v>
      </c>
      <c r="D26" s="9">
        <v>150</v>
      </c>
      <c r="E26" s="9">
        <v>100</v>
      </c>
      <c r="F26" s="9">
        <v>300</v>
      </c>
      <c r="G26" s="9">
        <v>6</v>
      </c>
      <c r="H26" s="9">
        <v>215</v>
      </c>
      <c r="I26" s="10">
        <f t="shared" si="2"/>
        <v>1345</v>
      </c>
      <c r="J26" s="10">
        <f t="shared" si="1"/>
        <v>95</v>
      </c>
      <c r="K26" s="11" t="s">
        <v>61</v>
      </c>
      <c r="L26" s="11" t="s">
        <v>62</v>
      </c>
      <c r="M26" s="11" t="s">
        <v>51</v>
      </c>
      <c r="N26" s="12"/>
    </row>
    <row r="27" spans="1:14" ht="28.8" x14ac:dyDescent="0.3">
      <c r="A27" s="8">
        <v>46273</v>
      </c>
      <c r="B27" s="9">
        <v>480</v>
      </c>
      <c r="C27" s="9">
        <v>120</v>
      </c>
      <c r="D27" s="9">
        <v>60</v>
      </c>
      <c r="E27" s="9">
        <v>20</v>
      </c>
      <c r="F27" s="9">
        <v>150</v>
      </c>
      <c r="G27" s="9">
        <v>3</v>
      </c>
      <c r="H27" s="9">
        <v>240</v>
      </c>
      <c r="I27" s="10">
        <f t="shared" si="2"/>
        <v>1070</v>
      </c>
      <c r="J27" s="10">
        <f t="shared" si="1"/>
        <v>370</v>
      </c>
      <c r="K27" s="11" t="s">
        <v>80</v>
      </c>
      <c r="L27" s="11" t="s">
        <v>53</v>
      </c>
      <c r="M27" s="11" t="s">
        <v>63</v>
      </c>
      <c r="N27" s="12" t="s">
        <v>81</v>
      </c>
    </row>
    <row r="28" spans="1:14" ht="28.8" x14ac:dyDescent="0.3">
      <c r="A28" s="8">
        <v>46274</v>
      </c>
      <c r="B28" s="9">
        <v>300</v>
      </c>
      <c r="C28" s="9">
        <v>60</v>
      </c>
      <c r="D28" s="9">
        <v>200</v>
      </c>
      <c r="E28" s="9">
        <v>120</v>
      </c>
      <c r="F28" s="9">
        <v>400</v>
      </c>
      <c r="G28" s="9">
        <v>8</v>
      </c>
      <c r="H28" s="9">
        <v>150</v>
      </c>
      <c r="I28" s="10">
        <f t="shared" si="2"/>
        <v>1230</v>
      </c>
      <c r="J28" s="10">
        <f t="shared" si="1"/>
        <v>210</v>
      </c>
      <c r="K28" s="11" t="s">
        <v>49</v>
      </c>
      <c r="L28" s="11" t="s">
        <v>50</v>
      </c>
      <c r="M28" s="11" t="s">
        <v>51</v>
      </c>
      <c r="N28" s="12" t="s">
        <v>69</v>
      </c>
    </row>
    <row r="29" spans="1:14" x14ac:dyDescent="0.3">
      <c r="A29" s="8">
        <v>46275</v>
      </c>
      <c r="B29" s="9">
        <v>420</v>
      </c>
      <c r="C29" s="9">
        <v>78</v>
      </c>
      <c r="D29" s="9">
        <v>200</v>
      </c>
      <c r="E29" s="9">
        <v>75</v>
      </c>
      <c r="F29" s="9">
        <v>250</v>
      </c>
      <c r="G29" s="9">
        <v>5</v>
      </c>
      <c r="H29" s="9">
        <v>300</v>
      </c>
      <c r="I29" s="10">
        <f t="shared" si="2"/>
        <v>1323</v>
      </c>
      <c r="J29" s="10">
        <f t="shared" si="1"/>
        <v>117</v>
      </c>
      <c r="K29" s="11" t="s">
        <v>61</v>
      </c>
      <c r="L29" s="11" t="s">
        <v>62</v>
      </c>
      <c r="M29" s="11" t="s">
        <v>54</v>
      </c>
      <c r="N29" s="12" t="s">
        <v>83</v>
      </c>
    </row>
    <row r="30" spans="1:14" x14ac:dyDescent="0.3">
      <c r="A30" s="8">
        <v>46276</v>
      </c>
      <c r="B30" s="9">
        <v>460</v>
      </c>
      <c r="C30" s="9">
        <v>90</v>
      </c>
      <c r="D30" s="9">
        <v>110</v>
      </c>
      <c r="E30" s="9">
        <v>30</v>
      </c>
      <c r="F30" s="9">
        <v>150</v>
      </c>
      <c r="G30" s="9">
        <v>3</v>
      </c>
      <c r="H30" s="9">
        <v>150</v>
      </c>
      <c r="I30" s="10">
        <f t="shared" si="2"/>
        <v>990</v>
      </c>
      <c r="J30" s="10">
        <f t="shared" si="1"/>
        <v>450</v>
      </c>
      <c r="K30" s="11" t="s">
        <v>49</v>
      </c>
      <c r="L30" s="11" t="s">
        <v>50</v>
      </c>
      <c r="M30" s="11" t="s">
        <v>51</v>
      </c>
      <c r="N30" s="12" t="s">
        <v>78</v>
      </c>
    </row>
    <row r="31" spans="1:14" ht="28.8" x14ac:dyDescent="0.3">
      <c r="A31" s="8">
        <v>46277</v>
      </c>
      <c r="B31" s="9">
        <v>300</v>
      </c>
      <c r="C31" s="9">
        <v>30</v>
      </c>
      <c r="D31" s="9">
        <v>60</v>
      </c>
      <c r="E31" s="9">
        <v>0</v>
      </c>
      <c r="F31" s="9">
        <v>0</v>
      </c>
      <c r="G31" s="9">
        <v>0</v>
      </c>
      <c r="H31" s="9">
        <v>120</v>
      </c>
      <c r="I31" s="10">
        <f t="shared" si="2"/>
        <v>510</v>
      </c>
      <c r="J31" s="10">
        <f t="shared" si="1"/>
        <v>930</v>
      </c>
      <c r="K31" s="11" t="s">
        <v>53</v>
      </c>
      <c r="L31" s="11" t="s">
        <v>71</v>
      </c>
      <c r="M31" s="11" t="s">
        <v>51</v>
      </c>
      <c r="N31" s="12" t="s">
        <v>84</v>
      </c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2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2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2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2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2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2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2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2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2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ref="J68:J131" si="3">IF(I68="","",1440-I68)</f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ref="I81:I144" si="4">IF(SUM(B81:F81,H81)=0,"",SUM(B81:F81,H81))</f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ref="J132:J195" si="5">IF(I132="","",1440-I132)</f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ref="I145:I208" si="6">IF(SUM(B145:F145,H145)=0,"",SUM(B145:F145,H145))</f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ref="J196:J259" si="7">IF(I196="","",1440-I196)</f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ref="I209:I272" si="8">IF(SUM(B209:F209,H209)=0,"",SUM(B209:F209,H209))</f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ref="J260:J323" si="9">IF(I260="","",1440-I260)</f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ref="I273:I336" si="10">IF(SUM(B273:F273,H273)=0,"",SUM(B273:F273,H273))</f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ref="J324:J387" si="11">IF(I324="","",1440-I324)</f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ref="I337:I399" si="12">IF(SUM(B337:F337,H337)=0,"",SUM(B337:F337,H337))</f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ref="J388:J399" si="13">IF(I388="","",1440-I388)</f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9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399" xr:uid="{00000000-0002-0000-0100-000000000000}">
      <formula1>"Excellent,Good,Neutral,Low,Stressed"</formula1>
      <formula2>0</formula2>
    </dataValidation>
    <dataValidation type="list" allowBlank="1" prompt="Select today's satisfaction level" sqref="L6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2026-09-12T17:21:41Z</dcterms:modified>
  <dc:language>en-US</dc:language>
</cp:coreProperties>
</file>