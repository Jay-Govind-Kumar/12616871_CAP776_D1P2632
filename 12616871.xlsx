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C8C45A52-2BAB-4686-B35D-388779A043E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18" i="2"/>
  <c r="J18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3" i="2"/>
  <c r="J23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<sst xmlns="http://schemas.openxmlformats.org/spreadsheetml/2006/main" count="122" uniqueCount="80">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</sst>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6" tint="0.59999389629810485"/>
        <bgColor rgb="FFFFFFFF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164" fontId="10" fillId="2" borderId="0" xfId="0" applyNumberFormat="1" applyFont="1" applyFill="1" applyBorder="1" applyAlignment="1">
      <alignment horizontal="center" vertical="center" wrapText="1"/>
    </xf>
    <xf numFmtId="1" fontId="10" fillId="2" borderId="0" xfId="0" applyNumberFormat="1" applyFont="1" applyFill="1" applyBorder="1" applyAlignment="1">
      <alignment horizontal="center" vertical="center" wrapText="1"/>
    </xf>
    <xf numFmtId="0" fontId="0" fillId="0" borderId="0" xfId="0" applyBorder="1"/>
    <xf numFmtId="164" fontId="0" fillId="4" borderId="1" xfId="0" applyNumberForma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7" fillId="5" borderId="0" xfId="0" applyFont="1" applyFill="1" applyBorder="1"/>
    <xf numFmtId="1" fontId="11" fillId="5" borderId="1" xfId="0" applyNumberFormat="1" applyFont="1" applyFill="1" applyBorder="1" applyAlignment="1">
      <alignment horizontal="center" vertical="center" wrapText="1"/>
    </xf>
    <xf numFmtId="0" fontId="0" fillId="5" borderId="0" xfId="0" applyFill="1" applyBorder="1"/>
    <xf numFmtId="0" fontId="12" fillId="2" borderId="4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J31" sqref="J31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7" si="0">IF(SUM(B6:F6,H6)=0,"",SUM(B6:F6,H6))</f>
        <v>1015</v>
      </c>
      <c r="J6" s="10">
        <f t="shared" ref="J6:J72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72</v>
      </c>
    </row>
    <row r="14" spans="1:14" ht="28.8" x14ac:dyDescent="0.3">
      <c r="A14" s="8">
        <v>46260</v>
      </c>
      <c r="B14" s="9">
        <v>450</v>
      </c>
      <c r="C14" s="9">
        <v>80</v>
      </c>
      <c r="D14" s="9">
        <v>70</v>
      </c>
      <c r="E14" s="9">
        <v>150</v>
      </c>
      <c r="F14" s="9">
        <v>8</v>
      </c>
      <c r="G14" s="9">
        <v>400</v>
      </c>
      <c r="H14" s="9">
        <v>150</v>
      </c>
      <c r="I14" s="10">
        <f t="shared" si="0"/>
        <v>908</v>
      </c>
      <c r="J14" s="10">
        <f t="shared" si="1"/>
        <v>532</v>
      </c>
      <c r="K14" s="11" t="s">
        <v>63</v>
      </c>
      <c r="L14" s="11" t="s">
        <v>68</v>
      </c>
      <c r="M14" s="11" t="s">
        <v>63</v>
      </c>
      <c r="N14" s="12" t="s">
        <v>69</v>
      </c>
    </row>
    <row r="15" spans="1:14" x14ac:dyDescent="0.3">
      <c r="A15" s="8">
        <v>46261</v>
      </c>
      <c r="B15" s="9">
        <v>320</v>
      </c>
      <c r="C15" s="9">
        <v>100</v>
      </c>
      <c r="D15" s="9">
        <v>300</v>
      </c>
      <c r="E15" s="9">
        <v>90</v>
      </c>
      <c r="F15" s="9">
        <v>3</v>
      </c>
      <c r="G15" s="9">
        <v>150</v>
      </c>
      <c r="H15" s="9">
        <v>150</v>
      </c>
      <c r="I15" s="10">
        <f t="shared" si="0"/>
        <v>963</v>
      </c>
      <c r="J15" s="10">
        <f t="shared" si="1"/>
        <v>477</v>
      </c>
      <c r="K15" s="11" t="s">
        <v>61</v>
      </c>
      <c r="L15" s="11" t="s">
        <v>62</v>
      </c>
      <c r="M15" s="11" t="s">
        <v>51</v>
      </c>
      <c r="N15" s="12" t="s">
        <v>70</v>
      </c>
    </row>
    <row r="16" spans="1:14" ht="43.2" x14ac:dyDescent="0.3">
      <c r="A16" s="8">
        <v>46262</v>
      </c>
      <c r="B16" s="9">
        <v>300</v>
      </c>
      <c r="C16" s="9">
        <v>120</v>
      </c>
      <c r="D16" s="9">
        <v>60</v>
      </c>
      <c r="E16" s="9">
        <v>0</v>
      </c>
      <c r="F16" s="9">
        <v>250</v>
      </c>
      <c r="G16" s="9">
        <v>5</v>
      </c>
      <c r="H16" s="9">
        <v>150</v>
      </c>
      <c r="I16" s="10">
        <f t="shared" si="0"/>
        <v>880</v>
      </c>
      <c r="J16" s="10">
        <f t="shared" si="1"/>
        <v>560</v>
      </c>
      <c r="K16" s="11" t="s">
        <v>63</v>
      </c>
      <c r="L16" s="11" t="s">
        <v>71</v>
      </c>
      <c r="M16" s="11" t="s">
        <v>51</v>
      </c>
      <c r="N16" s="12" t="s">
        <v>73</v>
      </c>
    </row>
    <row r="17" spans="1:14" x14ac:dyDescent="0.3">
      <c r="A17" s="8">
        <v>46263</v>
      </c>
      <c r="B17" s="9">
        <v>350</v>
      </c>
      <c r="C17" s="9">
        <v>60</v>
      </c>
      <c r="D17" s="9">
        <v>300</v>
      </c>
      <c r="E17" s="9">
        <v>120</v>
      </c>
      <c r="F17" s="9">
        <v>0</v>
      </c>
      <c r="G17" s="9">
        <v>0</v>
      </c>
      <c r="H17" s="9">
        <v>250</v>
      </c>
      <c r="I17" s="10">
        <f t="shared" si="0"/>
        <v>1080</v>
      </c>
      <c r="J17" s="10">
        <f t="shared" si="1"/>
        <v>360</v>
      </c>
      <c r="K17" s="11" t="s">
        <v>49</v>
      </c>
      <c r="L17" s="11" t="s">
        <v>50</v>
      </c>
      <c r="M17" s="11" t="s">
        <v>54</v>
      </c>
      <c r="N17" s="12" t="s">
        <v>74</v>
      </c>
    </row>
    <row r="18" spans="1:14" x14ac:dyDescent="0.3">
      <c r="A18" s="8">
        <v>46264</v>
      </c>
      <c r="B18" s="9">
        <v>440</v>
      </c>
      <c r="C18" s="9">
        <v>45</v>
      </c>
      <c r="D18" s="9">
        <v>270</v>
      </c>
      <c r="E18" s="9">
        <v>90</v>
      </c>
      <c r="F18" s="9">
        <v>0</v>
      </c>
      <c r="G18" s="9">
        <v>0</v>
      </c>
      <c r="H18" s="9">
        <v>400</v>
      </c>
      <c r="I18" s="10">
        <f t="shared" ref="I18:I85" si="2">IF(SUM(B18:F18,H18)=0,"",SUM(B18:F18,H18))</f>
        <v>1245</v>
      </c>
      <c r="J18" s="10">
        <f t="shared" si="1"/>
        <v>195</v>
      </c>
      <c r="K18" s="11" t="s">
        <v>53</v>
      </c>
      <c r="L18" s="11" t="s">
        <v>53</v>
      </c>
      <c r="M18" s="11" t="s">
        <v>63</v>
      </c>
      <c r="N18" s="12" t="s">
        <v>75</v>
      </c>
    </row>
    <row r="19" spans="1:14" x14ac:dyDescent="0.3">
      <c r="A19" s="21">
        <v>46265</v>
      </c>
      <c r="B19" s="22">
        <v>230</v>
      </c>
      <c r="C19" s="22">
        <v>90</v>
      </c>
      <c r="D19" s="22">
        <v>90</v>
      </c>
      <c r="E19" s="22">
        <v>120</v>
      </c>
      <c r="F19" s="22">
        <v>300</v>
      </c>
      <c r="G19" s="22">
        <v>6</v>
      </c>
      <c r="H19" s="22">
        <v>270</v>
      </c>
      <c r="I19" s="23">
        <f t="shared" si="2"/>
        <v>1100</v>
      </c>
      <c r="J19" s="23">
        <f t="shared" si="1"/>
        <v>340</v>
      </c>
      <c r="K19" s="24" t="s">
        <v>49</v>
      </c>
      <c r="L19" s="24" t="s">
        <v>50</v>
      </c>
      <c r="M19" s="24" t="s">
        <v>51</v>
      </c>
      <c r="N19" s="25" t="s">
        <v>76</v>
      </c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/>
      <c r="J20" s="10"/>
      <c r="K20" s="11"/>
      <c r="L20" s="11"/>
      <c r="M20" s="11"/>
      <c r="N20" s="12"/>
    </row>
    <row r="21" spans="1:14" s="33" customFormat="1" x14ac:dyDescent="0.3">
      <c r="A21" s="31"/>
      <c r="B21" s="12"/>
      <c r="C21" s="12"/>
      <c r="D21" s="12"/>
      <c r="E21" s="32"/>
      <c r="F21" s="32"/>
      <c r="G21" s="32"/>
      <c r="H21" s="32"/>
      <c r="I21" s="15"/>
      <c r="J21" s="15"/>
      <c r="K21" s="12"/>
      <c r="L21" s="12"/>
      <c r="M21" s="12"/>
      <c r="N21" s="12"/>
    </row>
    <row r="22" spans="1:14" s="38" customFormat="1" ht="19.5" customHeight="1" x14ac:dyDescent="0.3">
      <c r="A22" s="34"/>
      <c r="B22" s="35"/>
      <c r="C22" s="35"/>
      <c r="D22" s="35"/>
      <c r="E22" s="6" t="s">
        <v>33</v>
      </c>
      <c r="F22" s="39" t="s">
        <v>79</v>
      </c>
      <c r="G22" s="40"/>
      <c r="H22" s="36"/>
      <c r="I22" s="37"/>
      <c r="J22" s="37"/>
      <c r="K22" s="35"/>
      <c r="L22" s="35"/>
      <c r="M22" s="35"/>
      <c r="N22" s="35"/>
    </row>
    <row r="23" spans="1:14" s="33" customFormat="1" x14ac:dyDescent="0.3">
      <c r="A23" s="31"/>
      <c r="B23" s="12"/>
      <c r="C23" s="12"/>
      <c r="D23" s="12"/>
      <c r="E23" s="32"/>
      <c r="F23" s="32"/>
      <c r="G23" s="32"/>
      <c r="H23" s="32"/>
      <c r="I23" s="15" t="str">
        <f>IF(SUM(B23:F23,H23)=0,"",SUM(B23:F23,H23))</f>
        <v/>
      </c>
      <c r="J23" s="15" t="str">
        <f>IF(I23="","",1440-I23)</f>
        <v/>
      </c>
      <c r="K23" s="12"/>
      <c r="L23" s="12"/>
      <c r="M23" s="12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/>
      <c r="J24" s="10"/>
      <c r="K24" s="11"/>
      <c r="L24" s="11"/>
      <c r="M24" s="11"/>
      <c r="N24" s="12"/>
    </row>
    <row r="25" spans="1:14" x14ac:dyDescent="0.3">
      <c r="A25" s="26">
        <v>46266</v>
      </c>
      <c r="B25" s="27">
        <v>450</v>
      </c>
      <c r="C25" s="27">
        <v>80</v>
      </c>
      <c r="D25" s="27">
        <v>130</v>
      </c>
      <c r="E25" s="27">
        <v>45</v>
      </c>
      <c r="F25" s="27">
        <v>150</v>
      </c>
      <c r="G25" s="27">
        <v>3</v>
      </c>
      <c r="H25" s="27">
        <v>260</v>
      </c>
      <c r="I25" s="28">
        <f t="shared" si="2"/>
        <v>1115</v>
      </c>
      <c r="J25" s="28">
        <f t="shared" si="1"/>
        <v>325</v>
      </c>
      <c r="K25" s="29" t="s">
        <v>61</v>
      </c>
      <c r="L25" s="29" t="s">
        <v>62</v>
      </c>
      <c r="M25" s="29" t="s">
        <v>54</v>
      </c>
      <c r="N25" s="30"/>
    </row>
    <row r="26" spans="1:14" x14ac:dyDescent="0.3">
      <c r="A26" s="8">
        <v>46267</v>
      </c>
      <c r="B26" s="9">
        <v>400</v>
      </c>
      <c r="C26" s="9">
        <v>35</v>
      </c>
      <c r="D26" s="9">
        <v>150</v>
      </c>
      <c r="E26" s="9">
        <v>100</v>
      </c>
      <c r="F26" s="9">
        <v>400</v>
      </c>
      <c r="G26" s="9">
        <v>8</v>
      </c>
      <c r="H26" s="9">
        <v>90</v>
      </c>
      <c r="I26" s="10">
        <f t="shared" si="2"/>
        <v>1175</v>
      </c>
      <c r="J26" s="10">
        <f t="shared" si="1"/>
        <v>265</v>
      </c>
      <c r="K26" s="11" t="s">
        <v>49</v>
      </c>
      <c r="L26" s="11" t="s">
        <v>50</v>
      </c>
      <c r="M26" s="11" t="s">
        <v>63</v>
      </c>
      <c r="N26" s="12" t="s">
        <v>77</v>
      </c>
    </row>
    <row r="27" spans="1:14" x14ac:dyDescent="0.3">
      <c r="A27" s="8">
        <v>46268</v>
      </c>
      <c r="B27" s="9">
        <v>420</v>
      </c>
      <c r="C27" s="9">
        <v>150</v>
      </c>
      <c r="D27" s="9">
        <v>60</v>
      </c>
      <c r="E27" s="9">
        <v>100</v>
      </c>
      <c r="F27" s="9">
        <v>300</v>
      </c>
      <c r="G27" s="9">
        <v>6</v>
      </c>
      <c r="H27" s="9">
        <v>80</v>
      </c>
      <c r="I27" s="10">
        <f t="shared" si="2"/>
        <v>1110</v>
      </c>
      <c r="J27" s="10">
        <f t="shared" si="1"/>
        <v>330</v>
      </c>
      <c r="K27" s="11" t="s">
        <v>61</v>
      </c>
      <c r="L27" s="11" t="s">
        <v>50</v>
      </c>
      <c r="M27" s="11" t="s">
        <v>51</v>
      </c>
      <c r="N27" s="12" t="s">
        <v>78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ref="I86:I149" si="4">IF(SUM(B86:F86,H86)=0,"",SUM(B86:F86,H86))</f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4" si="12">IF(SUM(B342:F342,H342)=0,"",SUM(B342:F342,H342))</f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7">
    <mergeCell ref="F22:G22"/>
    <mergeCell ref="A4:N4"/>
    <mergeCell ref="A1:N1"/>
    <mergeCell ref="B2:D2"/>
    <mergeCell ref="F2:G2"/>
    <mergeCell ref="B3:D3"/>
    <mergeCell ref="F3:G3"/>
  </mergeCells>
  <conditionalFormatting sqref="J6:J20 J24:J404 I21:J23">
    <cfRule type="cellIs" dxfId="3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2026-09-03T19:29:45Z</dcterms:modified>
  <dc:language>en-US</dc:language>
</cp:coreProperties>
</file>