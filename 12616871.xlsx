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D:\12616871_CAP776_D1P2632\"/>
    </mc:Choice>
  </mc:AlternateContent>
  <xr:revisionPtr revIDLastSave="0" documentId="13_ncr:1_{53C5D9CC-7C6B-440F-BC1B-AFAAE981AF3C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6" i="2" l="1"/>
  <c r="J6" i="2" s="1"/>
  <c r="I9" i="2" l="1"/>
  <c r="J9" i="2" s="1"/>
  <c r="I19" i="2"/>
  <c r="J19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I313" i="2"/>
  <c r="J313" i="2" s="1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I262" i="2"/>
  <c r="J262" i="2" s="1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I108" i="2"/>
  <c r="J108" i="2" s="1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8" i="2"/>
  <c r="J8" i="2" s="1"/>
  <c r="I7" i="2"/>
  <c r="J7" i="2" l="1"/>
</calcChain>
</file>

<file path=xl/sharedStrings.xml><?xml version="1.0" encoding="utf-8"?>
<sst xmlns="http://schemas.openxmlformats.org/spreadsheetml/2006/main" count="271" uniqueCount="105">
  <si>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</si>
  <si>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</si>
  <si>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</si>
  <si>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</si>
  <si>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</si>
  <si>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</si>
  <si>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</si>
  <si>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</si>
  <si>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</si>
  <si>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</si>
  <si>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</si>
  <si>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</si>
  <si>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</si>
  <si>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</si>
  <si>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</si>
  <si>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</si>
  <si>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</si>
  <si>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</si>
  <si>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</si>
  <si>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</si>
  <si>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</si>
  <si>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</si>
  <si>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</si>
  <si>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</si>
  <si>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</si>
  <si>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</si>
  <si>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</si>
  <si>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</si>
  <si>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</si>
  <si>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</si>
  <si>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</si>
  <si>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</si>
  <si>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</si>
  <si>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</si>
  <si>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</si>
  <si>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</si>
  <si>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</si>
  <si>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</si>
  <si>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</si>
  <si>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</si>
  <si>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</si>
  <si>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</si>
  <si>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</si>
  <si>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</si>
  <si>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</si>
  <si>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</si>
  <si>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</si>
  <si>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</si>
  <si>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</si>
  <si>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</si>
  <si>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</si>
  <si>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</si>
  <si>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5. GOOD PRACTICE</t>
  </si>
  <si>
    <t>Neutral</t>
  </si>
  <si>
    <t>High</t>
  </si>
  <si>
    <t xml:space="preserve"> Felt a bit tired after evening class.</t>
  </si>
  <si>
    <t>Felt energetic and attend an evening event at Unipolis.</t>
  </si>
  <si>
    <t>Felt very tired in the evening due to continuous class.</t>
  </si>
  <si>
    <t>Jay Govind Kumar</t>
  </si>
  <si>
    <t>MCA (Core) / D1P2632</t>
  </si>
  <si>
    <t>August</t>
  </si>
  <si>
    <t>Excellent</t>
  </si>
  <si>
    <t>Very Satisfied</t>
  </si>
  <si>
    <t>Low</t>
  </si>
  <si>
    <t>I feel energetic after attending the spiritual class.</t>
  </si>
  <si>
    <t>I was feeling tired due to a lack of sleep, but I started feeling better after hanging out with friends.</t>
  </si>
  <si>
    <t>No any feeling for today.</t>
  </si>
  <si>
    <t>A normal Day.</t>
  </si>
  <si>
    <t>Unsatisfied</t>
  </si>
  <si>
    <t>Feeling very tired due to heavy schedule.</t>
  </si>
  <si>
    <t>Feeling happy.</t>
  </si>
  <si>
    <t>Very Unsatisfied</t>
  </si>
  <si>
    <t>Feel energetic because we had only 3 classes today.</t>
  </si>
  <si>
    <t>Feeling low because I am away from home and today is Rakhi.</t>
  </si>
  <si>
    <t>Not at All</t>
  </si>
  <si>
    <t>Not At All</t>
  </si>
  <si>
    <t>Very ttred due to room shift.</t>
  </si>
  <si>
    <t>A hectic day</t>
  </si>
  <si>
    <t>Just a normal day.</t>
  </si>
  <si>
    <t>Enjoy.</t>
  </si>
  <si>
    <t>Stressed</t>
  </si>
  <si>
    <t>To much work done by today evening.</t>
  </si>
  <si>
    <t>Enjoy the holiday and prepaqre for Ca's.</t>
  </si>
  <si>
    <t>Enjoy the Freshers' Party</t>
  </si>
  <si>
    <t>The whole day was spent travelling.</t>
  </si>
  <si>
    <t>A heptic day as usual on every wednesday</t>
  </si>
  <si>
    <t>Feeling blessed because participate in Ganpati Events.</t>
  </si>
  <si>
    <t>Feeling happy because participate in Ganpati Events(Dandiya).</t>
  </si>
  <si>
    <t>Visit a nearest mela.</t>
  </si>
  <si>
    <t>Lots are revision are still pending for DBMS Ca</t>
  </si>
  <si>
    <t>In the evening I relaxed after the CA completed</t>
  </si>
  <si>
    <t>Excited to take tomorrow English class</t>
  </si>
  <si>
    <t>Preparing for English CA</t>
  </si>
  <si>
    <t>Exicted for first hackathon</t>
  </si>
  <si>
    <t>Very tired after the hackathon</t>
  </si>
  <si>
    <t xml:space="preserve">LPU Protest </t>
  </si>
  <si>
    <t>Whole day spend in travelling</t>
  </si>
  <si>
    <t>Rest at home and visit some places in my hometown</t>
  </si>
  <si>
    <t>Visit some temples</t>
  </si>
  <si>
    <t>Just hangning with friends</t>
  </si>
  <si>
    <t>Revise some topics for Mid Term</t>
  </si>
  <si>
    <t>Online classes started</t>
  </si>
  <si>
    <t>Do some activities with friends</t>
  </si>
  <si>
    <t>While travelling meet new peoples and become good friends</t>
  </si>
  <si>
    <t>Preparing for Mid 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</si>
</sst>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3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1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52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92"/>
  <sheetViews>
    <sheetView showGridLines="0" tabSelected="1" zoomScaleNormal="100" workbookViewId="0">
      <pane xSplit="1" ySplit="5" topLeftCell="B56" activePane="bottomRight" state="frozen"/>
      <selection pane="topRight" activeCell="B1" sqref="B1"/>
      <selection pane="bottomLeft" activeCell="A6" sqref="A6"/>
      <selection pane="bottomRight" activeCell="I68" sqref="I68"/>
    </sheetView>
  </sheetViews>
  <sheetFormatPr defaultColWidth="8.6640625" defaultRowHeight="14.4" x14ac:dyDescent="0.3"/>
  <cols>
    <col min="1" max="1" width="18" bestFit="1" customWidth="1"/>
    <col min="2" max="4" width="11" customWidth="1"/>
    <col min="5" max="5" width="17.5546875" bestFit="1" customWidth="1"/>
    <col min="6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30</v>
      </c>
      <c r="B2" s="20" t="s">
        <v>58</v>
      </c>
      <c r="C2" s="20"/>
      <c r="D2" s="20"/>
      <c r="E2" s="6" t="s">
        <v>31</v>
      </c>
      <c r="F2" s="20">
        <v>12616871</v>
      </c>
      <c r="G2" s="20"/>
    </row>
    <row r="3" spans="1:14" ht="19.5" customHeight="1" x14ac:dyDescent="0.3">
      <c r="A3" s="6" t="s">
        <v>32</v>
      </c>
      <c r="B3" s="20" t="s">
        <v>59</v>
      </c>
      <c r="C3" s="20"/>
      <c r="D3" s="20"/>
      <c r="E3" s="6" t="s">
        <v>33</v>
      </c>
      <c r="F3" s="20" t="s">
        <v>60</v>
      </c>
      <c r="G3" s="20"/>
    </row>
    <row r="4" spans="1:14" x14ac:dyDescent="0.3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x14ac:dyDescent="0.3">
      <c r="A6" s="8">
        <v>46251</v>
      </c>
      <c r="B6" s="9">
        <v>420</v>
      </c>
      <c r="C6" s="9">
        <v>30</v>
      </c>
      <c r="D6" s="9">
        <v>165</v>
      </c>
      <c r="E6" s="9">
        <v>20</v>
      </c>
      <c r="F6" s="9">
        <v>300</v>
      </c>
      <c r="G6" s="9">
        <v>6</v>
      </c>
      <c r="H6" s="9">
        <v>60</v>
      </c>
      <c r="I6" s="10">
        <f>IF(SUM(B6:F6,H6)=0,"",SUM(B6:F6,H6))</f>
        <v>995</v>
      </c>
      <c r="J6" s="10">
        <f>IF(I6="","",1440-I6)</f>
        <v>445</v>
      </c>
      <c r="K6" s="11" t="s">
        <v>53</v>
      </c>
      <c r="L6" s="11" t="s">
        <v>53</v>
      </c>
      <c r="M6" s="11" t="s">
        <v>54</v>
      </c>
      <c r="N6" s="12"/>
    </row>
    <row r="7" spans="1:14" ht="28.8" x14ac:dyDescent="0.3">
      <c r="A7" s="8">
        <v>46252</v>
      </c>
      <c r="B7" s="9">
        <v>480</v>
      </c>
      <c r="C7" s="9">
        <v>45</v>
      </c>
      <c r="D7" s="9">
        <v>120</v>
      </c>
      <c r="E7" s="9">
        <v>90</v>
      </c>
      <c r="F7" s="9">
        <v>250</v>
      </c>
      <c r="G7" s="9">
        <v>5</v>
      </c>
      <c r="H7" s="9">
        <v>30</v>
      </c>
      <c r="I7" s="10">
        <f t="shared" ref="I7:I18" si="0">IF(SUM(B7:F7,H7)=0,"",SUM(B7:F7,H7))</f>
        <v>1015</v>
      </c>
      <c r="J7" s="10">
        <f t="shared" ref="J7:J60" si="1">IF(I7="","",1440-I7)</f>
        <v>425</v>
      </c>
      <c r="K7" s="11" t="s">
        <v>49</v>
      </c>
      <c r="L7" s="11" t="s">
        <v>50</v>
      </c>
      <c r="M7" s="11" t="s">
        <v>51</v>
      </c>
      <c r="N7" s="12" t="s">
        <v>55</v>
      </c>
    </row>
    <row r="8" spans="1:14" ht="28.8" x14ac:dyDescent="0.3">
      <c r="A8" s="8">
        <v>46253</v>
      </c>
      <c r="B8" s="9">
        <v>350</v>
      </c>
      <c r="C8" s="9">
        <v>80</v>
      </c>
      <c r="D8" s="9">
        <v>90</v>
      </c>
      <c r="E8" s="9">
        <v>30</v>
      </c>
      <c r="F8" s="9">
        <v>350</v>
      </c>
      <c r="G8" s="9">
        <v>7</v>
      </c>
      <c r="H8" s="9">
        <v>210</v>
      </c>
      <c r="I8" s="10">
        <f t="shared" si="0"/>
        <v>1110</v>
      </c>
      <c r="J8" s="10">
        <f>IF(I8="","",1440-I8)</f>
        <v>330</v>
      </c>
      <c r="K8" s="11" t="s">
        <v>49</v>
      </c>
      <c r="L8" s="11" t="s">
        <v>53</v>
      </c>
      <c r="M8" s="11" t="s">
        <v>51</v>
      </c>
      <c r="N8" s="12" t="s">
        <v>57</v>
      </c>
    </row>
    <row r="9" spans="1:14" ht="28.8" x14ac:dyDescent="0.3">
      <c r="A9" s="8">
        <v>46254</v>
      </c>
      <c r="B9" s="9">
        <v>300</v>
      </c>
      <c r="C9" s="9">
        <v>50</v>
      </c>
      <c r="D9" s="9">
        <v>135</v>
      </c>
      <c r="E9" s="9">
        <v>60</v>
      </c>
      <c r="F9" s="9">
        <v>150</v>
      </c>
      <c r="G9" s="9">
        <v>3</v>
      </c>
      <c r="H9" s="9">
        <v>420</v>
      </c>
      <c r="I9" s="10">
        <f>IF(SUM(B9:F9,H9)=0,"",SUM(B9:F9,H9))</f>
        <v>1115</v>
      </c>
      <c r="J9" s="10">
        <f t="shared" si="1"/>
        <v>325</v>
      </c>
      <c r="K9" s="11" t="s">
        <v>61</v>
      </c>
      <c r="L9" s="11" t="s">
        <v>50</v>
      </c>
      <c r="M9" s="11" t="s">
        <v>54</v>
      </c>
      <c r="N9" s="12" t="s">
        <v>56</v>
      </c>
    </row>
    <row r="10" spans="1:14" x14ac:dyDescent="0.3">
      <c r="A10" s="8">
        <v>46255</v>
      </c>
      <c r="B10" s="9">
        <v>210</v>
      </c>
      <c r="C10" s="9">
        <v>95</v>
      </c>
      <c r="D10" s="9">
        <v>135</v>
      </c>
      <c r="E10" s="9">
        <v>72</v>
      </c>
      <c r="F10" s="9">
        <v>250</v>
      </c>
      <c r="G10" s="9">
        <v>5</v>
      </c>
      <c r="H10" s="9">
        <v>270</v>
      </c>
      <c r="I10" s="10">
        <f t="shared" si="0"/>
        <v>1032</v>
      </c>
      <c r="J10" s="10">
        <f>IF(I10="","",1440-I10)</f>
        <v>408</v>
      </c>
      <c r="K10" s="11" t="s">
        <v>53</v>
      </c>
      <c r="L10" s="11" t="s">
        <v>53</v>
      </c>
      <c r="M10" s="11" t="s">
        <v>63</v>
      </c>
      <c r="N10" s="12" t="s">
        <v>66</v>
      </c>
    </row>
    <row r="11" spans="1:14" ht="57.6" x14ac:dyDescent="0.3">
      <c r="A11" s="8">
        <v>46256</v>
      </c>
      <c r="B11" s="9">
        <v>75</v>
      </c>
      <c r="C11" s="9">
        <v>125</v>
      </c>
      <c r="D11" s="9">
        <v>210</v>
      </c>
      <c r="E11" s="9">
        <v>0</v>
      </c>
      <c r="F11" s="9">
        <v>0</v>
      </c>
      <c r="G11" s="9">
        <v>0</v>
      </c>
      <c r="H11" s="9">
        <v>584</v>
      </c>
      <c r="I11" s="10">
        <f t="shared" si="0"/>
        <v>994</v>
      </c>
      <c r="J11" s="10">
        <f t="shared" si="1"/>
        <v>446</v>
      </c>
      <c r="K11" s="11" t="s">
        <v>49</v>
      </c>
      <c r="L11" s="11" t="s">
        <v>62</v>
      </c>
      <c r="M11" s="11" t="s">
        <v>54</v>
      </c>
      <c r="N11" s="12" t="s">
        <v>65</v>
      </c>
    </row>
    <row r="12" spans="1:14" ht="28.8" x14ac:dyDescent="0.3">
      <c r="A12" s="8">
        <v>46257</v>
      </c>
      <c r="B12" s="9">
        <v>320</v>
      </c>
      <c r="C12" s="9">
        <v>30</v>
      </c>
      <c r="D12" s="9">
        <v>75</v>
      </c>
      <c r="E12" s="9">
        <v>93</v>
      </c>
      <c r="F12" s="9">
        <v>0</v>
      </c>
      <c r="G12" s="9">
        <v>0</v>
      </c>
      <c r="H12" s="9">
        <v>345</v>
      </c>
      <c r="I12" s="10">
        <f t="shared" si="0"/>
        <v>863</v>
      </c>
      <c r="J12" s="10">
        <f t="shared" si="1"/>
        <v>577</v>
      </c>
      <c r="K12" s="11" t="s">
        <v>61</v>
      </c>
      <c r="L12" s="11" t="s">
        <v>62</v>
      </c>
      <c r="M12" s="11" t="s">
        <v>54</v>
      </c>
      <c r="N12" s="12" t="s">
        <v>64</v>
      </c>
    </row>
    <row r="13" spans="1:14" x14ac:dyDescent="0.3">
      <c r="A13" s="8">
        <v>46258</v>
      </c>
      <c r="B13" s="9">
        <v>280</v>
      </c>
      <c r="C13" s="9">
        <v>48</v>
      </c>
      <c r="D13" s="9">
        <v>150</v>
      </c>
      <c r="E13" s="9">
        <v>60</v>
      </c>
      <c r="F13" s="9">
        <v>250</v>
      </c>
      <c r="G13" s="9">
        <v>5</v>
      </c>
      <c r="H13" s="9">
        <v>100</v>
      </c>
      <c r="I13" s="10">
        <f t="shared" si="0"/>
        <v>888</v>
      </c>
      <c r="J13" s="10">
        <f t="shared" si="1"/>
        <v>552</v>
      </c>
      <c r="K13" s="11" t="s">
        <v>49</v>
      </c>
      <c r="L13" s="11" t="s">
        <v>50</v>
      </c>
      <c r="M13" s="11" t="s">
        <v>51</v>
      </c>
      <c r="N13" s="12" t="s">
        <v>67</v>
      </c>
    </row>
    <row r="14" spans="1:14" ht="28.8" x14ac:dyDescent="0.3">
      <c r="A14" s="8">
        <v>46259</v>
      </c>
      <c r="B14" s="9">
        <v>270</v>
      </c>
      <c r="C14" s="9">
        <v>65</v>
      </c>
      <c r="D14" s="9">
        <v>150</v>
      </c>
      <c r="E14" s="9">
        <v>100</v>
      </c>
      <c r="F14" s="9">
        <v>150</v>
      </c>
      <c r="G14" s="9">
        <v>3</v>
      </c>
      <c r="H14" s="9">
        <v>200</v>
      </c>
      <c r="I14" s="10">
        <f t="shared" si="0"/>
        <v>935</v>
      </c>
      <c r="J14" s="10">
        <f t="shared" si="1"/>
        <v>505</v>
      </c>
      <c r="K14" s="11" t="s">
        <v>61</v>
      </c>
      <c r="L14" s="11" t="s">
        <v>62</v>
      </c>
      <c r="M14" s="11" t="s">
        <v>54</v>
      </c>
      <c r="N14" s="12" t="s">
        <v>72</v>
      </c>
    </row>
    <row r="15" spans="1:14" ht="28.8" x14ac:dyDescent="0.3">
      <c r="A15" s="8">
        <v>46260</v>
      </c>
      <c r="B15" s="9">
        <v>450</v>
      </c>
      <c r="C15" s="9">
        <v>80</v>
      </c>
      <c r="D15" s="9">
        <v>70</v>
      </c>
      <c r="E15" s="9">
        <v>150</v>
      </c>
      <c r="F15" s="9">
        <v>400</v>
      </c>
      <c r="G15" s="9">
        <v>8</v>
      </c>
      <c r="H15" s="9">
        <v>150</v>
      </c>
      <c r="I15" s="10">
        <f t="shared" si="0"/>
        <v>1300</v>
      </c>
      <c r="J15" s="10">
        <f t="shared" si="1"/>
        <v>140</v>
      </c>
      <c r="K15" s="11" t="s">
        <v>63</v>
      </c>
      <c r="L15" s="11" t="s">
        <v>68</v>
      </c>
      <c r="M15" s="11" t="s">
        <v>63</v>
      </c>
      <c r="N15" s="12" t="s">
        <v>69</v>
      </c>
    </row>
    <row r="16" spans="1:14" x14ac:dyDescent="0.3">
      <c r="A16" s="8">
        <v>46261</v>
      </c>
      <c r="B16" s="9">
        <v>320</v>
      </c>
      <c r="C16" s="9">
        <v>100</v>
      </c>
      <c r="D16" s="9">
        <v>300</v>
      </c>
      <c r="E16" s="9">
        <v>90</v>
      </c>
      <c r="F16" s="9">
        <v>150</v>
      </c>
      <c r="G16" s="9">
        <v>3</v>
      </c>
      <c r="H16" s="9">
        <v>150</v>
      </c>
      <c r="I16" s="10">
        <f t="shared" si="0"/>
        <v>1110</v>
      </c>
      <c r="J16" s="10">
        <f t="shared" si="1"/>
        <v>330</v>
      </c>
      <c r="K16" s="11" t="s">
        <v>61</v>
      </c>
      <c r="L16" s="11" t="s">
        <v>62</v>
      </c>
      <c r="M16" s="11" t="s">
        <v>51</v>
      </c>
      <c r="N16" s="12" t="s">
        <v>70</v>
      </c>
    </row>
    <row r="17" spans="1:14" ht="43.2" x14ac:dyDescent="0.3">
      <c r="A17" s="8">
        <v>46262</v>
      </c>
      <c r="B17" s="9">
        <v>300</v>
      </c>
      <c r="C17" s="9">
        <v>120</v>
      </c>
      <c r="D17" s="9">
        <v>60</v>
      </c>
      <c r="E17" s="9">
        <v>0</v>
      </c>
      <c r="F17" s="9">
        <v>250</v>
      </c>
      <c r="G17" s="9">
        <v>5</v>
      </c>
      <c r="H17" s="9">
        <v>150</v>
      </c>
      <c r="I17" s="10">
        <f t="shared" si="0"/>
        <v>880</v>
      </c>
      <c r="J17" s="10">
        <f t="shared" si="1"/>
        <v>560</v>
      </c>
      <c r="K17" s="11" t="s">
        <v>63</v>
      </c>
      <c r="L17" s="11" t="s">
        <v>71</v>
      </c>
      <c r="M17" s="11" t="s">
        <v>51</v>
      </c>
      <c r="N17" s="12" t="s">
        <v>73</v>
      </c>
    </row>
    <row r="18" spans="1:14" x14ac:dyDescent="0.3">
      <c r="A18" s="8">
        <v>46263</v>
      </c>
      <c r="B18" s="9">
        <v>350</v>
      </c>
      <c r="C18" s="9">
        <v>60</v>
      </c>
      <c r="D18" s="9">
        <v>300</v>
      </c>
      <c r="E18" s="9">
        <v>120</v>
      </c>
      <c r="F18" s="9">
        <v>0</v>
      </c>
      <c r="G18" s="9">
        <v>0</v>
      </c>
      <c r="H18" s="9">
        <v>250</v>
      </c>
      <c r="I18" s="10">
        <f t="shared" si="0"/>
        <v>1080</v>
      </c>
      <c r="J18" s="10">
        <f t="shared" si="1"/>
        <v>360</v>
      </c>
      <c r="K18" s="11" t="s">
        <v>49</v>
      </c>
      <c r="L18" s="11" t="s">
        <v>50</v>
      </c>
      <c r="M18" s="11" t="s">
        <v>54</v>
      </c>
      <c r="N18" s="12" t="s">
        <v>74</v>
      </c>
    </row>
    <row r="19" spans="1:14" x14ac:dyDescent="0.3">
      <c r="A19" s="8">
        <v>46264</v>
      </c>
      <c r="B19" s="9">
        <v>440</v>
      </c>
      <c r="C19" s="9">
        <v>45</v>
      </c>
      <c r="D19" s="9">
        <v>270</v>
      </c>
      <c r="E19" s="9">
        <v>90</v>
      </c>
      <c r="F19" s="9">
        <v>0</v>
      </c>
      <c r="G19" s="9">
        <v>0</v>
      </c>
      <c r="H19" s="9">
        <v>400</v>
      </c>
      <c r="I19" s="10">
        <f t="shared" ref="I19:I73" si="2">IF(SUM(B19:F19,H19)=0,"",SUM(B19:F19,H19))</f>
        <v>1245</v>
      </c>
      <c r="J19" s="10">
        <f t="shared" si="1"/>
        <v>195</v>
      </c>
      <c r="K19" s="11" t="s">
        <v>53</v>
      </c>
      <c r="L19" s="11" t="s">
        <v>53</v>
      </c>
      <c r="M19" s="11" t="s">
        <v>63</v>
      </c>
      <c r="N19" s="12" t="s">
        <v>75</v>
      </c>
    </row>
    <row r="20" spans="1:14" x14ac:dyDescent="0.3">
      <c r="A20" s="8">
        <v>46265</v>
      </c>
      <c r="B20" s="9">
        <v>230</v>
      </c>
      <c r="C20" s="9">
        <v>90</v>
      </c>
      <c r="D20" s="9">
        <v>90</v>
      </c>
      <c r="E20" s="9">
        <v>120</v>
      </c>
      <c r="F20" s="9">
        <v>300</v>
      </c>
      <c r="G20" s="9">
        <v>6</v>
      </c>
      <c r="H20" s="9">
        <v>270</v>
      </c>
      <c r="I20" s="10">
        <f t="shared" si="2"/>
        <v>1100</v>
      </c>
      <c r="J20" s="10">
        <f t="shared" si="1"/>
        <v>340</v>
      </c>
      <c r="K20" s="11" t="s">
        <v>49</v>
      </c>
      <c r="L20" s="11" t="s">
        <v>50</v>
      </c>
      <c r="M20" s="11" t="s">
        <v>51</v>
      </c>
      <c r="N20" s="12" t="s">
        <v>76</v>
      </c>
    </row>
    <row r="21" spans="1:14" x14ac:dyDescent="0.3">
      <c r="A21" s="8">
        <v>46266</v>
      </c>
      <c r="B21" s="9">
        <v>450</v>
      </c>
      <c r="C21" s="9">
        <v>80</v>
      </c>
      <c r="D21" s="9">
        <v>130</v>
      </c>
      <c r="E21" s="9">
        <v>45</v>
      </c>
      <c r="F21" s="9">
        <v>150</v>
      </c>
      <c r="G21" s="9">
        <v>3</v>
      </c>
      <c r="H21" s="9">
        <v>260</v>
      </c>
      <c r="I21" s="10">
        <f t="shared" si="2"/>
        <v>1115</v>
      </c>
      <c r="J21" s="10">
        <f t="shared" si="1"/>
        <v>325</v>
      </c>
      <c r="K21" s="11" t="s">
        <v>61</v>
      </c>
      <c r="L21" s="11" t="s">
        <v>62</v>
      </c>
      <c r="M21" s="11" t="s">
        <v>54</v>
      </c>
      <c r="N21" s="12"/>
    </row>
    <row r="22" spans="1:14" x14ac:dyDescent="0.3">
      <c r="A22" s="8">
        <v>46267</v>
      </c>
      <c r="B22" s="9">
        <v>400</v>
      </c>
      <c r="C22" s="9">
        <v>35</v>
      </c>
      <c r="D22" s="9">
        <v>150</v>
      </c>
      <c r="E22" s="9">
        <v>100</v>
      </c>
      <c r="F22" s="9">
        <v>400</v>
      </c>
      <c r="G22" s="9">
        <v>8</v>
      </c>
      <c r="H22" s="9">
        <v>90</v>
      </c>
      <c r="I22" s="10">
        <f t="shared" si="2"/>
        <v>1175</v>
      </c>
      <c r="J22" s="10">
        <f t="shared" si="1"/>
        <v>265</v>
      </c>
      <c r="K22" s="11" t="s">
        <v>49</v>
      </c>
      <c r="L22" s="11" t="s">
        <v>50</v>
      </c>
      <c r="M22" s="11" t="s">
        <v>63</v>
      </c>
      <c r="N22" s="12" t="s">
        <v>77</v>
      </c>
    </row>
    <row r="23" spans="1:14" x14ac:dyDescent="0.3">
      <c r="A23" s="8">
        <v>46268</v>
      </c>
      <c r="B23" s="9">
        <v>420</v>
      </c>
      <c r="C23" s="9">
        <v>150</v>
      </c>
      <c r="D23" s="9">
        <v>60</v>
      </c>
      <c r="E23" s="9">
        <v>100</v>
      </c>
      <c r="F23" s="9">
        <v>300</v>
      </c>
      <c r="G23" s="9">
        <v>6</v>
      </c>
      <c r="H23" s="9">
        <v>80</v>
      </c>
      <c r="I23" s="10">
        <f t="shared" si="2"/>
        <v>1110</v>
      </c>
      <c r="J23" s="10">
        <f t="shared" si="1"/>
        <v>330</v>
      </c>
      <c r="K23" s="11" t="s">
        <v>61</v>
      </c>
      <c r="L23" s="11" t="s">
        <v>50</v>
      </c>
      <c r="M23" s="11" t="s">
        <v>51</v>
      </c>
      <c r="N23" s="12" t="s">
        <v>78</v>
      </c>
    </row>
    <row r="24" spans="1:14" x14ac:dyDescent="0.3">
      <c r="A24" s="8">
        <v>46269</v>
      </c>
      <c r="B24" s="9">
        <v>370</v>
      </c>
      <c r="C24" s="9">
        <v>180</v>
      </c>
      <c r="D24" s="9">
        <v>180</v>
      </c>
      <c r="E24" s="9">
        <v>70</v>
      </c>
      <c r="F24" s="9">
        <v>250</v>
      </c>
      <c r="G24" s="9">
        <v>5</v>
      </c>
      <c r="H24" s="9">
        <v>100</v>
      </c>
      <c r="I24" s="10">
        <f t="shared" si="2"/>
        <v>1150</v>
      </c>
      <c r="J24" s="10">
        <f t="shared" si="1"/>
        <v>290</v>
      </c>
      <c r="K24" s="11" t="s">
        <v>49</v>
      </c>
      <c r="L24" s="11" t="s">
        <v>50</v>
      </c>
      <c r="M24" s="11" t="s">
        <v>51</v>
      </c>
      <c r="N24" s="12" t="s">
        <v>67</v>
      </c>
    </row>
    <row r="25" spans="1:14" x14ac:dyDescent="0.3">
      <c r="A25" s="8">
        <v>46270</v>
      </c>
      <c r="B25" s="9">
        <v>500</v>
      </c>
      <c r="C25" s="9">
        <v>200</v>
      </c>
      <c r="D25" s="9">
        <v>120</v>
      </c>
      <c r="E25" s="9">
        <v>60</v>
      </c>
      <c r="F25" s="9">
        <v>0</v>
      </c>
      <c r="G25" s="9">
        <v>0</v>
      </c>
      <c r="H25" s="9">
        <v>190</v>
      </c>
      <c r="I25" s="10">
        <f t="shared" si="2"/>
        <v>1070</v>
      </c>
      <c r="J25" s="10">
        <f t="shared" si="1"/>
        <v>370</v>
      </c>
      <c r="K25" s="11" t="s">
        <v>49</v>
      </c>
      <c r="L25" s="11" t="s">
        <v>53</v>
      </c>
      <c r="M25" s="11" t="s">
        <v>51</v>
      </c>
      <c r="N25" s="12" t="s">
        <v>79</v>
      </c>
    </row>
    <row r="26" spans="1:14" ht="28.8" x14ac:dyDescent="0.3">
      <c r="A26" s="8">
        <v>46271</v>
      </c>
      <c r="B26" s="9">
        <v>385</v>
      </c>
      <c r="C26" s="9">
        <v>135</v>
      </c>
      <c r="D26" s="9">
        <v>200</v>
      </c>
      <c r="E26" s="9">
        <v>120</v>
      </c>
      <c r="F26" s="9">
        <v>0</v>
      </c>
      <c r="G26" s="9">
        <v>0</v>
      </c>
      <c r="H26" s="9">
        <v>150</v>
      </c>
      <c r="I26" s="10">
        <f t="shared" si="2"/>
        <v>990</v>
      </c>
      <c r="J26" s="10">
        <f t="shared" si="1"/>
        <v>450</v>
      </c>
      <c r="K26" s="11" t="s">
        <v>53</v>
      </c>
      <c r="L26" s="11" t="s">
        <v>50</v>
      </c>
      <c r="M26" s="11" t="s">
        <v>51</v>
      </c>
      <c r="N26" s="12" t="s">
        <v>82</v>
      </c>
    </row>
    <row r="27" spans="1:14" x14ac:dyDescent="0.3">
      <c r="A27" s="8">
        <v>46272</v>
      </c>
      <c r="B27" s="9">
        <v>400</v>
      </c>
      <c r="C27" s="9">
        <v>180</v>
      </c>
      <c r="D27" s="9">
        <v>150</v>
      </c>
      <c r="E27" s="9">
        <v>100</v>
      </c>
      <c r="F27" s="9">
        <v>300</v>
      </c>
      <c r="G27" s="9">
        <v>6</v>
      </c>
      <c r="H27" s="9">
        <v>215</v>
      </c>
      <c r="I27" s="10">
        <f t="shared" si="2"/>
        <v>1345</v>
      </c>
      <c r="J27" s="10">
        <f t="shared" si="1"/>
        <v>95</v>
      </c>
      <c r="K27" s="11" t="s">
        <v>61</v>
      </c>
      <c r="L27" s="11" t="s">
        <v>62</v>
      </c>
      <c r="M27" s="11" t="s">
        <v>51</v>
      </c>
      <c r="N27" s="12"/>
    </row>
    <row r="28" spans="1:14" ht="28.8" x14ac:dyDescent="0.3">
      <c r="A28" s="8">
        <v>46273</v>
      </c>
      <c r="B28" s="9">
        <v>480</v>
      </c>
      <c r="C28" s="9">
        <v>120</v>
      </c>
      <c r="D28" s="9">
        <v>60</v>
      </c>
      <c r="E28" s="9">
        <v>20</v>
      </c>
      <c r="F28" s="9">
        <v>150</v>
      </c>
      <c r="G28" s="9">
        <v>3</v>
      </c>
      <c r="H28" s="9">
        <v>240</v>
      </c>
      <c r="I28" s="10">
        <f t="shared" si="2"/>
        <v>1070</v>
      </c>
      <c r="J28" s="10">
        <f t="shared" si="1"/>
        <v>370</v>
      </c>
      <c r="K28" s="11" t="s">
        <v>80</v>
      </c>
      <c r="L28" s="11" t="s">
        <v>53</v>
      </c>
      <c r="M28" s="11" t="s">
        <v>63</v>
      </c>
      <c r="N28" s="12" t="s">
        <v>81</v>
      </c>
    </row>
    <row r="29" spans="1:14" ht="28.8" x14ac:dyDescent="0.3">
      <c r="A29" s="8">
        <v>46274</v>
      </c>
      <c r="B29" s="9">
        <v>300</v>
      </c>
      <c r="C29" s="9">
        <v>60</v>
      </c>
      <c r="D29" s="9">
        <v>200</v>
      </c>
      <c r="E29" s="9">
        <v>120</v>
      </c>
      <c r="F29" s="9">
        <v>400</v>
      </c>
      <c r="G29" s="9">
        <v>8</v>
      </c>
      <c r="H29" s="9">
        <v>150</v>
      </c>
      <c r="I29" s="10">
        <f t="shared" si="2"/>
        <v>1230</v>
      </c>
      <c r="J29" s="10">
        <f t="shared" si="1"/>
        <v>210</v>
      </c>
      <c r="K29" s="11" t="s">
        <v>49</v>
      </c>
      <c r="L29" s="11" t="s">
        <v>50</v>
      </c>
      <c r="M29" s="11" t="s">
        <v>51</v>
      </c>
      <c r="N29" s="12" t="s">
        <v>69</v>
      </c>
    </row>
    <row r="30" spans="1:14" x14ac:dyDescent="0.3">
      <c r="A30" s="8">
        <v>46275</v>
      </c>
      <c r="B30" s="9">
        <v>420</v>
      </c>
      <c r="C30" s="9">
        <v>78</v>
      </c>
      <c r="D30" s="9">
        <v>200</v>
      </c>
      <c r="E30" s="9">
        <v>75</v>
      </c>
      <c r="F30" s="9">
        <v>250</v>
      </c>
      <c r="G30" s="9">
        <v>5</v>
      </c>
      <c r="H30" s="9">
        <v>300</v>
      </c>
      <c r="I30" s="10">
        <f t="shared" si="2"/>
        <v>1323</v>
      </c>
      <c r="J30" s="10">
        <f t="shared" si="1"/>
        <v>117</v>
      </c>
      <c r="K30" s="11" t="s">
        <v>61</v>
      </c>
      <c r="L30" s="11" t="s">
        <v>62</v>
      </c>
      <c r="M30" s="11" t="s">
        <v>54</v>
      </c>
      <c r="N30" s="12" t="s">
        <v>83</v>
      </c>
    </row>
    <row r="31" spans="1:14" x14ac:dyDescent="0.3">
      <c r="A31" s="8">
        <v>46276</v>
      </c>
      <c r="B31" s="9">
        <v>460</v>
      </c>
      <c r="C31" s="9">
        <v>90</v>
      </c>
      <c r="D31" s="9">
        <v>110</v>
      </c>
      <c r="E31" s="9">
        <v>30</v>
      </c>
      <c r="F31" s="9">
        <v>150</v>
      </c>
      <c r="G31" s="9">
        <v>3</v>
      </c>
      <c r="H31" s="9">
        <v>150</v>
      </c>
      <c r="I31" s="10">
        <f t="shared" si="2"/>
        <v>990</v>
      </c>
      <c r="J31" s="10">
        <f t="shared" si="1"/>
        <v>450</v>
      </c>
      <c r="K31" s="11" t="s">
        <v>49</v>
      </c>
      <c r="L31" s="11" t="s">
        <v>50</v>
      </c>
      <c r="M31" s="11" t="s">
        <v>51</v>
      </c>
      <c r="N31" s="12" t="s">
        <v>78</v>
      </c>
    </row>
    <row r="32" spans="1:14" ht="28.8" x14ac:dyDescent="0.3">
      <c r="A32" s="8">
        <v>46277</v>
      </c>
      <c r="B32" s="9">
        <v>300</v>
      </c>
      <c r="C32" s="9">
        <v>30</v>
      </c>
      <c r="D32" s="9">
        <v>60</v>
      </c>
      <c r="E32" s="9">
        <v>0</v>
      </c>
      <c r="F32" s="9">
        <v>0</v>
      </c>
      <c r="G32" s="9">
        <v>0</v>
      </c>
      <c r="H32" s="9">
        <v>120</v>
      </c>
      <c r="I32" s="10">
        <f t="shared" si="2"/>
        <v>510</v>
      </c>
      <c r="J32" s="10">
        <f t="shared" si="1"/>
        <v>930</v>
      </c>
      <c r="K32" s="11" t="s">
        <v>53</v>
      </c>
      <c r="L32" s="11" t="s">
        <v>71</v>
      </c>
      <c r="M32" s="11" t="s">
        <v>51</v>
      </c>
      <c r="N32" s="12" t="s">
        <v>84</v>
      </c>
    </row>
    <row r="33" spans="1:14" x14ac:dyDescent="0.3">
      <c r="A33" s="8">
        <v>46278</v>
      </c>
      <c r="B33" s="9">
        <v>460</v>
      </c>
      <c r="C33" s="9">
        <v>20</v>
      </c>
      <c r="D33" s="9">
        <v>190</v>
      </c>
      <c r="E33" s="9">
        <v>60</v>
      </c>
      <c r="F33" s="9">
        <v>0</v>
      </c>
      <c r="G33" s="9">
        <v>0</v>
      </c>
      <c r="H33" s="9">
        <v>230</v>
      </c>
      <c r="I33" s="10">
        <f t="shared" si="2"/>
        <v>960</v>
      </c>
      <c r="J33" s="10">
        <f t="shared" si="1"/>
        <v>480</v>
      </c>
      <c r="K33" s="11" t="s">
        <v>49</v>
      </c>
      <c r="L33" s="11" t="s">
        <v>50</v>
      </c>
      <c r="M33" s="11" t="s">
        <v>54</v>
      </c>
      <c r="N33" s="12" t="s">
        <v>88</v>
      </c>
    </row>
    <row r="34" spans="1:14" x14ac:dyDescent="0.3">
      <c r="A34" s="8">
        <v>46279</v>
      </c>
      <c r="B34" s="9">
        <v>350</v>
      </c>
      <c r="C34" s="9">
        <v>65</v>
      </c>
      <c r="D34" s="9">
        <v>120</v>
      </c>
      <c r="E34" s="9">
        <v>45</v>
      </c>
      <c r="F34" s="9">
        <v>300</v>
      </c>
      <c r="G34" s="9">
        <v>6</v>
      </c>
      <c r="H34" s="9">
        <v>130</v>
      </c>
      <c r="I34" s="10">
        <f t="shared" si="2"/>
        <v>1010</v>
      </c>
      <c r="J34" s="10">
        <f t="shared" si="1"/>
        <v>430</v>
      </c>
      <c r="K34" s="11" t="s">
        <v>53</v>
      </c>
      <c r="L34" s="11" t="s">
        <v>53</v>
      </c>
      <c r="M34" s="11" t="s">
        <v>51</v>
      </c>
      <c r="N34" s="12" t="s">
        <v>78</v>
      </c>
    </row>
    <row r="35" spans="1:14" ht="43.2" x14ac:dyDescent="0.3">
      <c r="A35" s="8">
        <v>46280</v>
      </c>
      <c r="B35" s="9">
        <v>200</v>
      </c>
      <c r="C35" s="9">
        <v>45</v>
      </c>
      <c r="D35" s="9">
        <v>270</v>
      </c>
      <c r="E35" s="9">
        <v>80</v>
      </c>
      <c r="F35" s="9">
        <v>150</v>
      </c>
      <c r="G35" s="9">
        <v>3</v>
      </c>
      <c r="H35" s="9">
        <v>120</v>
      </c>
      <c r="I35" s="10">
        <f t="shared" si="2"/>
        <v>865</v>
      </c>
      <c r="J35" s="10">
        <f t="shared" si="1"/>
        <v>575</v>
      </c>
      <c r="K35" s="11" t="s">
        <v>61</v>
      </c>
      <c r="L35" s="11" t="s">
        <v>50</v>
      </c>
      <c r="M35" s="11" t="s">
        <v>51</v>
      </c>
      <c r="N35" s="12" t="s">
        <v>87</v>
      </c>
    </row>
    <row r="36" spans="1:14" ht="28.8" x14ac:dyDescent="0.3">
      <c r="A36" s="8">
        <v>46281</v>
      </c>
      <c r="B36" s="9">
        <v>350</v>
      </c>
      <c r="C36" s="9">
        <v>80</v>
      </c>
      <c r="D36" s="9">
        <v>70</v>
      </c>
      <c r="E36" s="9">
        <v>30</v>
      </c>
      <c r="F36" s="9">
        <v>400</v>
      </c>
      <c r="G36" s="9">
        <v>8</v>
      </c>
      <c r="H36" s="9">
        <v>80</v>
      </c>
      <c r="I36" s="10">
        <f t="shared" si="2"/>
        <v>1010</v>
      </c>
      <c r="J36" s="10">
        <f t="shared" si="1"/>
        <v>430</v>
      </c>
      <c r="K36" s="11" t="s">
        <v>63</v>
      </c>
      <c r="L36" s="11" t="s">
        <v>62</v>
      </c>
      <c r="M36" s="11" t="s">
        <v>63</v>
      </c>
      <c r="N36" s="12" t="s">
        <v>85</v>
      </c>
    </row>
    <row r="37" spans="1:14" ht="43.2" x14ac:dyDescent="0.3">
      <c r="A37" s="8">
        <v>46282</v>
      </c>
      <c r="B37" s="9">
        <v>400</v>
      </c>
      <c r="C37" s="9">
        <v>95</v>
      </c>
      <c r="D37" s="9">
        <v>150</v>
      </c>
      <c r="E37" s="9">
        <v>45</v>
      </c>
      <c r="F37" s="9">
        <v>250</v>
      </c>
      <c r="G37" s="9">
        <v>5</v>
      </c>
      <c r="H37" s="9">
        <v>70</v>
      </c>
      <c r="I37" s="10">
        <f t="shared" si="2"/>
        <v>1010</v>
      </c>
      <c r="J37" s="10">
        <f t="shared" si="1"/>
        <v>430</v>
      </c>
      <c r="K37" s="11" t="s">
        <v>61</v>
      </c>
      <c r="L37" s="11" t="s">
        <v>62</v>
      </c>
      <c r="M37" s="11" t="s">
        <v>54</v>
      </c>
      <c r="N37" s="12" t="s">
        <v>86</v>
      </c>
    </row>
    <row r="38" spans="1:14" x14ac:dyDescent="0.3">
      <c r="A38" s="8">
        <v>46283</v>
      </c>
      <c r="B38" s="9">
        <v>340</v>
      </c>
      <c r="C38" s="9">
        <v>120</v>
      </c>
      <c r="D38" s="9">
        <v>240</v>
      </c>
      <c r="E38" s="9">
        <v>60</v>
      </c>
      <c r="F38" s="9">
        <v>250</v>
      </c>
      <c r="G38" s="9">
        <v>5</v>
      </c>
      <c r="H38" s="9">
        <v>150</v>
      </c>
      <c r="I38" s="10">
        <f t="shared" si="2"/>
        <v>1160</v>
      </c>
      <c r="J38" s="10">
        <f t="shared" si="1"/>
        <v>280</v>
      </c>
      <c r="K38" s="11" t="s">
        <v>49</v>
      </c>
      <c r="L38" s="11" t="s">
        <v>50</v>
      </c>
      <c r="M38" s="11" t="s">
        <v>51</v>
      </c>
      <c r="N38" s="12"/>
    </row>
    <row r="39" spans="1:14" x14ac:dyDescent="0.3">
      <c r="A39" s="8">
        <v>46284</v>
      </c>
      <c r="B39" s="9">
        <v>420</v>
      </c>
      <c r="C39" s="9">
        <v>60</v>
      </c>
      <c r="D39" s="9">
        <v>200</v>
      </c>
      <c r="E39" s="9">
        <v>80</v>
      </c>
      <c r="F39" s="9">
        <v>30</v>
      </c>
      <c r="G39" s="9">
        <v>1</v>
      </c>
      <c r="H39" s="9">
        <v>90</v>
      </c>
      <c r="I39" s="10">
        <f t="shared" si="2"/>
        <v>880</v>
      </c>
      <c r="J39" s="10">
        <f t="shared" si="1"/>
        <v>560</v>
      </c>
      <c r="K39" s="11" t="s">
        <v>53</v>
      </c>
      <c r="L39" s="11" t="s">
        <v>53</v>
      </c>
      <c r="M39" s="11" t="s">
        <v>51</v>
      </c>
      <c r="N39" s="12"/>
    </row>
    <row r="40" spans="1:14" ht="28.8" x14ac:dyDescent="0.3">
      <c r="A40" s="8">
        <v>46285</v>
      </c>
      <c r="B40" s="9">
        <v>300</v>
      </c>
      <c r="C40" s="9">
        <v>60</v>
      </c>
      <c r="D40" s="9">
        <v>300</v>
      </c>
      <c r="E40" s="9">
        <v>30</v>
      </c>
      <c r="F40" s="9">
        <v>0</v>
      </c>
      <c r="G40" s="9">
        <v>0</v>
      </c>
      <c r="H40" s="9">
        <v>240</v>
      </c>
      <c r="I40" s="10">
        <f t="shared" si="2"/>
        <v>930</v>
      </c>
      <c r="J40" s="10">
        <f t="shared" si="1"/>
        <v>510</v>
      </c>
      <c r="K40" s="11" t="s">
        <v>80</v>
      </c>
      <c r="L40" s="11" t="s">
        <v>68</v>
      </c>
      <c r="M40" s="11" t="s">
        <v>63</v>
      </c>
      <c r="N40" s="12" t="s">
        <v>89</v>
      </c>
    </row>
    <row r="41" spans="1:14" ht="28.8" x14ac:dyDescent="0.3">
      <c r="A41" s="8">
        <v>46286</v>
      </c>
      <c r="B41" s="9">
        <v>200</v>
      </c>
      <c r="C41" s="9">
        <v>45</v>
      </c>
      <c r="D41" s="9">
        <v>380</v>
      </c>
      <c r="E41" s="9">
        <v>60</v>
      </c>
      <c r="F41" s="9">
        <v>300</v>
      </c>
      <c r="G41" s="9">
        <v>6</v>
      </c>
      <c r="H41" s="9">
        <v>180</v>
      </c>
      <c r="I41" s="10">
        <f t="shared" si="2"/>
        <v>1165</v>
      </c>
      <c r="J41" s="10">
        <f t="shared" si="1"/>
        <v>275</v>
      </c>
      <c r="K41" s="11" t="s">
        <v>80</v>
      </c>
      <c r="L41" s="11" t="s">
        <v>50</v>
      </c>
      <c r="M41" s="11" t="s">
        <v>63</v>
      </c>
      <c r="N41" s="12" t="s">
        <v>90</v>
      </c>
    </row>
    <row r="42" spans="1:14" ht="28.8" x14ac:dyDescent="0.3">
      <c r="A42" s="8">
        <v>46287</v>
      </c>
      <c r="B42" s="9">
        <v>340</v>
      </c>
      <c r="C42" s="9">
        <v>170</v>
      </c>
      <c r="D42" s="9">
        <v>180</v>
      </c>
      <c r="E42" s="9">
        <v>40</v>
      </c>
      <c r="F42" s="9">
        <v>150</v>
      </c>
      <c r="G42" s="9">
        <v>3</v>
      </c>
      <c r="H42" s="9">
        <v>120</v>
      </c>
      <c r="I42" s="10">
        <f t="shared" si="2"/>
        <v>1000</v>
      </c>
      <c r="J42" s="10">
        <f t="shared" si="1"/>
        <v>440</v>
      </c>
      <c r="K42" s="11" t="s">
        <v>49</v>
      </c>
      <c r="L42" s="11" t="s">
        <v>62</v>
      </c>
      <c r="M42" s="11" t="s">
        <v>51</v>
      </c>
      <c r="N42" s="12" t="s">
        <v>91</v>
      </c>
    </row>
    <row r="43" spans="1:14" x14ac:dyDescent="0.3">
      <c r="A43" s="8">
        <v>46288</v>
      </c>
      <c r="B43" s="9">
        <v>420</v>
      </c>
      <c r="C43" s="9">
        <v>90</v>
      </c>
      <c r="D43" s="9">
        <v>200</v>
      </c>
      <c r="E43" s="9">
        <v>150</v>
      </c>
      <c r="F43" s="9">
        <v>400</v>
      </c>
      <c r="G43" s="9">
        <v>8</v>
      </c>
      <c r="H43" s="9">
        <v>100</v>
      </c>
      <c r="I43" s="10">
        <f t="shared" si="2"/>
        <v>1360</v>
      </c>
      <c r="J43" s="10">
        <f t="shared" si="1"/>
        <v>80</v>
      </c>
      <c r="K43" s="11" t="s">
        <v>61</v>
      </c>
      <c r="L43" s="11" t="s">
        <v>62</v>
      </c>
      <c r="M43" s="11" t="s">
        <v>51</v>
      </c>
      <c r="N43" s="12" t="s">
        <v>92</v>
      </c>
    </row>
    <row r="44" spans="1:14" x14ac:dyDescent="0.3">
      <c r="A44" s="8">
        <v>46289</v>
      </c>
      <c r="B44" s="9">
        <v>360</v>
      </c>
      <c r="C44" s="9">
        <v>140</v>
      </c>
      <c r="D44" s="9">
        <v>160</v>
      </c>
      <c r="E44" s="9">
        <v>90</v>
      </c>
      <c r="F44" s="9">
        <v>200</v>
      </c>
      <c r="G44" s="9">
        <v>4</v>
      </c>
      <c r="H44" s="9">
        <v>120</v>
      </c>
      <c r="I44" s="10">
        <f t="shared" si="2"/>
        <v>1070</v>
      </c>
      <c r="J44" s="10">
        <f t="shared" si="1"/>
        <v>370</v>
      </c>
      <c r="K44" s="11" t="s">
        <v>49</v>
      </c>
      <c r="L44" s="11" t="s">
        <v>50</v>
      </c>
      <c r="M44" s="11" t="s">
        <v>54</v>
      </c>
      <c r="N44" s="12"/>
    </row>
    <row r="45" spans="1:14" x14ac:dyDescent="0.3">
      <c r="A45" s="8">
        <v>46290</v>
      </c>
      <c r="B45" s="9">
        <v>300</v>
      </c>
      <c r="C45" s="9">
        <v>120</v>
      </c>
      <c r="D45" s="9">
        <v>90</v>
      </c>
      <c r="E45" s="9">
        <v>60</v>
      </c>
      <c r="F45" s="9">
        <v>300</v>
      </c>
      <c r="G45" s="9">
        <v>5</v>
      </c>
      <c r="H45" s="9">
        <v>420</v>
      </c>
      <c r="I45" s="10">
        <f t="shared" si="2"/>
        <v>1290</v>
      </c>
      <c r="J45" s="10">
        <f t="shared" si="1"/>
        <v>150</v>
      </c>
      <c r="K45" s="11" t="s">
        <v>80</v>
      </c>
      <c r="L45" s="11" t="s">
        <v>50</v>
      </c>
      <c r="M45" s="11" t="s">
        <v>54</v>
      </c>
      <c r="N45" s="12" t="s">
        <v>93</v>
      </c>
    </row>
    <row r="46" spans="1:14" ht="28.8" x14ac:dyDescent="0.3">
      <c r="A46" s="8">
        <v>46291</v>
      </c>
      <c r="B46" s="9">
        <v>420</v>
      </c>
      <c r="C46" s="9">
        <v>45</v>
      </c>
      <c r="D46" s="9">
        <v>60</v>
      </c>
      <c r="E46" s="9">
        <v>120</v>
      </c>
      <c r="F46" s="9">
        <v>0</v>
      </c>
      <c r="G46" s="9">
        <v>0</v>
      </c>
      <c r="H46" s="9">
        <v>540</v>
      </c>
      <c r="I46" s="10">
        <f t="shared" si="2"/>
        <v>1185</v>
      </c>
      <c r="J46" s="10">
        <f t="shared" si="1"/>
        <v>255</v>
      </c>
      <c r="K46" s="11" t="s">
        <v>63</v>
      </c>
      <c r="L46" s="11" t="s">
        <v>50</v>
      </c>
      <c r="M46" s="11" t="s">
        <v>63</v>
      </c>
      <c r="N46" s="12" t="s">
        <v>94</v>
      </c>
    </row>
    <row r="47" spans="1:14" ht="28.8" x14ac:dyDescent="0.3">
      <c r="A47" s="8">
        <v>46292</v>
      </c>
      <c r="B47" s="9">
        <v>360</v>
      </c>
      <c r="C47" s="9">
        <v>0</v>
      </c>
      <c r="D47" s="9">
        <v>60</v>
      </c>
      <c r="E47" s="9">
        <v>30</v>
      </c>
      <c r="F47" s="9">
        <v>0</v>
      </c>
      <c r="G47" s="9">
        <v>0</v>
      </c>
      <c r="H47" s="9">
        <v>0</v>
      </c>
      <c r="I47" s="10">
        <f t="shared" si="2"/>
        <v>450</v>
      </c>
      <c r="J47" s="10">
        <f t="shared" si="1"/>
        <v>990</v>
      </c>
      <c r="K47" s="11" t="s">
        <v>80</v>
      </c>
      <c r="L47" s="11" t="s">
        <v>71</v>
      </c>
      <c r="M47" s="11" t="s">
        <v>63</v>
      </c>
      <c r="N47" s="12" t="s">
        <v>95</v>
      </c>
    </row>
    <row r="48" spans="1:14" ht="28.8" x14ac:dyDescent="0.3">
      <c r="A48" s="8">
        <v>46293</v>
      </c>
      <c r="B48" s="9">
        <v>180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10">
        <f t="shared" si="2"/>
        <v>180</v>
      </c>
      <c r="J48" s="10">
        <f t="shared" si="1"/>
        <v>1260</v>
      </c>
      <c r="K48" s="11" t="s">
        <v>80</v>
      </c>
      <c r="L48" s="11" t="s">
        <v>71</v>
      </c>
      <c r="M48" s="11" t="s">
        <v>63</v>
      </c>
      <c r="N48" s="12" t="s">
        <v>96</v>
      </c>
    </row>
    <row r="49" spans="1:14" ht="28.8" x14ac:dyDescent="0.3">
      <c r="A49" s="8">
        <v>46294</v>
      </c>
      <c r="B49" s="9">
        <v>120</v>
      </c>
      <c r="C49" s="9">
        <v>10</v>
      </c>
      <c r="D49" s="9">
        <v>60</v>
      </c>
      <c r="E49" s="9">
        <v>30</v>
      </c>
      <c r="F49" s="9">
        <v>0</v>
      </c>
      <c r="G49" s="9">
        <v>0</v>
      </c>
      <c r="H49" s="9">
        <v>0</v>
      </c>
      <c r="I49" s="10">
        <f t="shared" si="2"/>
        <v>220</v>
      </c>
      <c r="J49" s="10">
        <f t="shared" si="1"/>
        <v>1220</v>
      </c>
      <c r="K49" s="11" t="s">
        <v>80</v>
      </c>
      <c r="L49" s="11" t="s">
        <v>71</v>
      </c>
      <c r="M49" s="11" t="s">
        <v>63</v>
      </c>
      <c r="N49" s="12" t="s">
        <v>96</v>
      </c>
    </row>
    <row r="50" spans="1:14" ht="28.8" x14ac:dyDescent="0.3">
      <c r="A50" s="8">
        <v>46295</v>
      </c>
      <c r="B50" s="9">
        <v>540</v>
      </c>
      <c r="C50" s="9">
        <v>45</v>
      </c>
      <c r="D50" s="9">
        <v>90</v>
      </c>
      <c r="E50" s="9">
        <v>45</v>
      </c>
      <c r="F50" s="9">
        <v>0</v>
      </c>
      <c r="G50" s="9">
        <v>0</v>
      </c>
      <c r="H50" s="9">
        <v>30</v>
      </c>
      <c r="I50" s="10">
        <f t="shared" si="2"/>
        <v>750</v>
      </c>
      <c r="J50" s="10">
        <f t="shared" si="1"/>
        <v>690</v>
      </c>
      <c r="K50" s="11" t="s">
        <v>53</v>
      </c>
      <c r="L50" s="11" t="s">
        <v>50</v>
      </c>
      <c r="M50" s="11" t="s">
        <v>51</v>
      </c>
      <c r="N50" s="12" t="s">
        <v>97</v>
      </c>
    </row>
    <row r="51" spans="1:14" x14ac:dyDescent="0.3">
      <c r="A51" s="8">
        <v>46296</v>
      </c>
      <c r="B51" s="9">
        <v>480</v>
      </c>
      <c r="C51" s="9">
        <v>60</v>
      </c>
      <c r="D51" s="9">
        <v>120</v>
      </c>
      <c r="E51" s="9">
        <v>60</v>
      </c>
      <c r="F51" s="9">
        <v>0</v>
      </c>
      <c r="G51" s="9">
        <v>0</v>
      </c>
      <c r="H51" s="9">
        <v>60</v>
      </c>
      <c r="I51" s="10">
        <f t="shared" si="2"/>
        <v>780</v>
      </c>
      <c r="J51" s="10">
        <f t="shared" si="1"/>
        <v>660</v>
      </c>
      <c r="K51" s="11" t="s">
        <v>49</v>
      </c>
      <c r="L51" s="11" t="s">
        <v>50</v>
      </c>
      <c r="M51" s="11" t="s">
        <v>51</v>
      </c>
      <c r="N51" s="12" t="s">
        <v>98</v>
      </c>
    </row>
    <row r="52" spans="1:14" x14ac:dyDescent="0.3">
      <c r="A52" s="8">
        <v>46297</v>
      </c>
      <c r="B52" s="9">
        <v>320</v>
      </c>
      <c r="C52" s="9">
        <v>30</v>
      </c>
      <c r="D52" s="9">
        <v>180</v>
      </c>
      <c r="E52" s="9">
        <v>30</v>
      </c>
      <c r="F52" s="9">
        <v>0</v>
      </c>
      <c r="G52" s="9">
        <v>0</v>
      </c>
      <c r="H52" s="9">
        <v>30</v>
      </c>
      <c r="I52" s="10">
        <f t="shared" si="2"/>
        <v>590</v>
      </c>
      <c r="J52" s="10">
        <f t="shared" si="1"/>
        <v>850</v>
      </c>
      <c r="K52" s="11" t="s">
        <v>53</v>
      </c>
      <c r="L52" s="11" t="s">
        <v>68</v>
      </c>
      <c r="M52" s="11" t="s">
        <v>51</v>
      </c>
      <c r="N52" s="12" t="s">
        <v>99</v>
      </c>
    </row>
    <row r="53" spans="1:14" ht="28.8" x14ac:dyDescent="0.3">
      <c r="A53" s="8">
        <v>46298</v>
      </c>
      <c r="B53" s="9">
        <v>420</v>
      </c>
      <c r="C53" s="9">
        <v>120</v>
      </c>
      <c r="D53" s="9">
        <v>150</v>
      </c>
      <c r="E53" s="9">
        <v>180</v>
      </c>
      <c r="F53" s="9">
        <v>0</v>
      </c>
      <c r="G53" s="9">
        <v>0</v>
      </c>
      <c r="H53" s="9">
        <v>120</v>
      </c>
      <c r="I53" s="10">
        <f t="shared" si="2"/>
        <v>990</v>
      </c>
      <c r="J53" s="10">
        <f t="shared" si="1"/>
        <v>450</v>
      </c>
      <c r="K53" s="11" t="s">
        <v>49</v>
      </c>
      <c r="L53" s="11" t="s">
        <v>53</v>
      </c>
      <c r="M53" s="11" t="s">
        <v>54</v>
      </c>
      <c r="N53" s="12" t="s">
        <v>100</v>
      </c>
    </row>
    <row r="54" spans="1:14" ht="28.8" x14ac:dyDescent="0.3">
      <c r="A54" s="8">
        <v>46299</v>
      </c>
      <c r="B54" s="9">
        <v>420</v>
      </c>
      <c r="C54" s="9">
        <v>120</v>
      </c>
      <c r="D54" s="9">
        <v>180</v>
      </c>
      <c r="E54" s="9">
        <v>45</v>
      </c>
      <c r="F54" s="9">
        <v>0</v>
      </c>
      <c r="G54" s="9">
        <v>0</v>
      </c>
      <c r="H54" s="9">
        <v>200</v>
      </c>
      <c r="I54" s="10">
        <f t="shared" si="2"/>
        <v>965</v>
      </c>
      <c r="J54" s="10">
        <f t="shared" si="1"/>
        <v>475</v>
      </c>
      <c r="K54" s="11" t="s">
        <v>61</v>
      </c>
      <c r="L54" s="11" t="s">
        <v>50</v>
      </c>
      <c r="M54" s="11" t="s">
        <v>51</v>
      </c>
      <c r="N54" s="12" t="s">
        <v>102</v>
      </c>
    </row>
    <row r="55" spans="1:14" x14ac:dyDescent="0.3">
      <c r="A55" s="8">
        <v>46300</v>
      </c>
      <c r="B55" s="9">
        <v>350</v>
      </c>
      <c r="C55" s="9">
        <v>60</v>
      </c>
      <c r="D55" s="9">
        <v>100</v>
      </c>
      <c r="E55" s="9">
        <v>30</v>
      </c>
      <c r="F55" s="9">
        <v>300</v>
      </c>
      <c r="G55" s="9">
        <v>6</v>
      </c>
      <c r="H55" s="9">
        <v>60</v>
      </c>
      <c r="I55" s="10">
        <f t="shared" si="2"/>
        <v>900</v>
      </c>
      <c r="J55" s="10">
        <f t="shared" si="1"/>
        <v>540</v>
      </c>
      <c r="K55" s="11" t="s">
        <v>61</v>
      </c>
      <c r="L55" s="11" t="s">
        <v>50</v>
      </c>
      <c r="M55" s="11" t="s">
        <v>54</v>
      </c>
      <c r="N55" s="12" t="s">
        <v>101</v>
      </c>
    </row>
    <row r="56" spans="1:14" x14ac:dyDescent="0.3">
      <c r="A56" s="8">
        <v>46301</v>
      </c>
      <c r="B56" s="9">
        <v>360</v>
      </c>
      <c r="C56" s="9">
        <v>30</v>
      </c>
      <c r="D56" s="9">
        <v>0</v>
      </c>
      <c r="E56" s="9">
        <v>45</v>
      </c>
      <c r="F56" s="9">
        <v>150</v>
      </c>
      <c r="G56" s="9">
        <v>3</v>
      </c>
      <c r="H56" s="9">
        <v>30</v>
      </c>
      <c r="I56" s="10">
        <f t="shared" si="2"/>
        <v>615</v>
      </c>
      <c r="J56" s="10">
        <f t="shared" si="1"/>
        <v>825</v>
      </c>
      <c r="K56" s="11" t="s">
        <v>61</v>
      </c>
      <c r="L56" s="11" t="s">
        <v>62</v>
      </c>
      <c r="M56" s="11" t="s">
        <v>54</v>
      </c>
      <c r="N56" s="12"/>
    </row>
    <row r="57" spans="1:14" x14ac:dyDescent="0.3">
      <c r="A57" s="8">
        <v>46302</v>
      </c>
      <c r="B57" s="9">
        <v>420</v>
      </c>
      <c r="C57" s="9">
        <v>45</v>
      </c>
      <c r="D57" s="9">
        <v>80</v>
      </c>
      <c r="E57" s="9">
        <v>30</v>
      </c>
      <c r="F57" s="9">
        <v>400</v>
      </c>
      <c r="G57" s="9">
        <v>8</v>
      </c>
      <c r="H57" s="9">
        <v>120</v>
      </c>
      <c r="I57" s="10">
        <f t="shared" si="2"/>
        <v>1095</v>
      </c>
      <c r="J57" s="10">
        <f t="shared" si="1"/>
        <v>345</v>
      </c>
      <c r="K57" s="11" t="s">
        <v>80</v>
      </c>
      <c r="L57" s="11" t="s">
        <v>50</v>
      </c>
      <c r="M57" s="11" t="s">
        <v>63</v>
      </c>
      <c r="N57" s="12"/>
    </row>
    <row r="58" spans="1:14" x14ac:dyDescent="0.3">
      <c r="A58" s="8">
        <v>46303</v>
      </c>
      <c r="B58" s="9">
        <v>480</v>
      </c>
      <c r="C58" s="9">
        <v>30</v>
      </c>
      <c r="D58" s="9">
        <v>90</v>
      </c>
      <c r="E58" s="9">
        <v>0</v>
      </c>
      <c r="F58" s="9">
        <v>300</v>
      </c>
      <c r="G58" s="9">
        <v>6</v>
      </c>
      <c r="H58" s="9">
        <v>45</v>
      </c>
      <c r="I58" s="10">
        <f t="shared" si="2"/>
        <v>945</v>
      </c>
      <c r="J58" s="10">
        <f t="shared" si="1"/>
        <v>495</v>
      </c>
      <c r="K58" s="11" t="s">
        <v>53</v>
      </c>
      <c r="L58" s="11" t="s">
        <v>53</v>
      </c>
      <c r="M58" s="11" t="s">
        <v>63</v>
      </c>
      <c r="N58" s="12"/>
    </row>
    <row r="59" spans="1:14" x14ac:dyDescent="0.3">
      <c r="A59" s="8">
        <v>46304</v>
      </c>
      <c r="B59" s="9">
        <v>150</v>
      </c>
      <c r="C59" s="9">
        <v>20</v>
      </c>
      <c r="D59" s="9">
        <v>120</v>
      </c>
      <c r="E59" s="9">
        <v>20</v>
      </c>
      <c r="F59" s="9">
        <v>150</v>
      </c>
      <c r="G59" s="9">
        <v>3</v>
      </c>
      <c r="H59" s="9">
        <v>90</v>
      </c>
      <c r="I59" s="10">
        <f t="shared" si="2"/>
        <v>550</v>
      </c>
      <c r="J59" s="10">
        <f t="shared" si="1"/>
        <v>890</v>
      </c>
      <c r="K59" s="11" t="s">
        <v>49</v>
      </c>
      <c r="L59" s="11" t="s">
        <v>50</v>
      </c>
      <c r="M59" s="11" t="s">
        <v>51</v>
      </c>
      <c r="N59" s="12"/>
    </row>
    <row r="60" spans="1:14" ht="43.2" x14ac:dyDescent="0.3">
      <c r="A60" s="8">
        <v>46305</v>
      </c>
      <c r="B60" s="9">
        <v>480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60</v>
      </c>
      <c r="I60" s="10">
        <f t="shared" si="2"/>
        <v>540</v>
      </c>
      <c r="J60" s="10">
        <f t="shared" si="1"/>
        <v>900</v>
      </c>
      <c r="K60" s="11" t="s">
        <v>61</v>
      </c>
      <c r="L60" s="11" t="s">
        <v>62</v>
      </c>
      <c r="M60" s="11" t="s">
        <v>54</v>
      </c>
      <c r="N60" s="12" t="s">
        <v>103</v>
      </c>
    </row>
    <row r="61" spans="1:14" ht="28.8" x14ac:dyDescent="0.3">
      <c r="A61" s="8">
        <v>46306</v>
      </c>
      <c r="B61" s="9">
        <v>300</v>
      </c>
      <c r="C61" s="9">
        <v>120</v>
      </c>
      <c r="D61" s="9">
        <v>240</v>
      </c>
      <c r="E61" s="9">
        <v>60</v>
      </c>
      <c r="F61" s="9">
        <v>0</v>
      </c>
      <c r="G61" s="9">
        <v>0</v>
      </c>
      <c r="H61" s="9">
        <v>45</v>
      </c>
      <c r="I61" s="10">
        <f t="shared" si="2"/>
        <v>765</v>
      </c>
      <c r="J61" s="10">
        <f t="shared" ref="J61:J124" si="3">IF(I61="","",1440-I61)</f>
        <v>675</v>
      </c>
      <c r="K61" s="11" t="s">
        <v>49</v>
      </c>
      <c r="L61" s="11" t="s">
        <v>71</v>
      </c>
      <c r="M61" s="11" t="s">
        <v>63</v>
      </c>
      <c r="N61" s="12" t="s">
        <v>104</v>
      </c>
    </row>
    <row r="62" spans="1:14" x14ac:dyDescent="0.3">
      <c r="A62" s="8">
        <v>46307</v>
      </c>
      <c r="B62" s="9">
        <v>420</v>
      </c>
      <c r="C62" s="9">
        <v>150</v>
      </c>
      <c r="D62" s="9">
        <v>300</v>
      </c>
      <c r="E62" s="9">
        <v>120</v>
      </c>
      <c r="F62" s="9">
        <v>0</v>
      </c>
      <c r="G62" s="9">
        <v>0</v>
      </c>
      <c r="H62" s="9">
        <v>60</v>
      </c>
      <c r="I62" s="10">
        <f t="shared" si="2"/>
        <v>1050</v>
      </c>
      <c r="J62" s="10">
        <f t="shared" si="3"/>
        <v>390</v>
      </c>
      <c r="K62" s="11" t="s">
        <v>53</v>
      </c>
      <c r="L62" s="11" t="s">
        <v>50</v>
      </c>
      <c r="M62" s="11" t="s">
        <v>51</v>
      </c>
      <c r="N62" s="12" t="s">
        <v>104</v>
      </c>
    </row>
    <row r="63" spans="1:14" x14ac:dyDescent="0.3">
      <c r="A63" s="13"/>
      <c r="B63" s="14"/>
      <c r="C63" s="14"/>
      <c r="D63" s="14"/>
      <c r="E63" s="14"/>
      <c r="F63" s="14"/>
      <c r="G63" s="14"/>
      <c r="H63" s="14"/>
      <c r="I63" s="15" t="str">
        <f t="shared" si="2"/>
        <v/>
      </c>
      <c r="J63" s="15" t="str">
        <f t="shared" si="3"/>
        <v/>
      </c>
      <c r="K63" s="16"/>
      <c r="L63" s="16"/>
      <c r="M63" s="16"/>
      <c r="N63" s="17"/>
    </row>
    <row r="64" spans="1:14" x14ac:dyDescent="0.3">
      <c r="A64" s="13"/>
      <c r="B64" s="14"/>
      <c r="C64" s="14"/>
      <c r="D64" s="14"/>
      <c r="E64" s="14"/>
      <c r="F64" s="14"/>
      <c r="G64" s="14"/>
      <c r="H64" s="14"/>
      <c r="I64" s="15" t="str">
        <f t="shared" si="2"/>
        <v/>
      </c>
      <c r="J64" s="15" t="str">
        <f t="shared" si="3"/>
        <v/>
      </c>
      <c r="K64" s="16"/>
      <c r="L64" s="16"/>
      <c r="M64" s="16"/>
      <c r="N64" s="17"/>
    </row>
    <row r="65" spans="1:14" x14ac:dyDescent="0.3">
      <c r="A65" s="13"/>
      <c r="B65" s="14"/>
      <c r="C65" s="14"/>
      <c r="D65" s="14"/>
      <c r="E65" s="14"/>
      <c r="F65" s="14"/>
      <c r="G65" s="14"/>
      <c r="H65" s="14"/>
      <c r="I65" s="15" t="str">
        <f t="shared" si="2"/>
        <v/>
      </c>
      <c r="J65" s="15" t="str">
        <f t="shared" si="3"/>
        <v/>
      </c>
      <c r="K65" s="16"/>
      <c r="L65" s="16"/>
      <c r="M65" s="16"/>
      <c r="N65" s="17"/>
    </row>
    <row r="66" spans="1:14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2"/>
        <v/>
      </c>
      <c r="J66" s="15" t="str">
        <f t="shared" si="3"/>
        <v/>
      </c>
      <c r="K66" s="16"/>
      <c r="L66" s="16"/>
      <c r="M66" s="16"/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2"/>
        <v/>
      </c>
      <c r="J67" s="15" t="str">
        <f t="shared" si="3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2"/>
        <v/>
      </c>
      <c r="J68" s="15" t="str">
        <f t="shared" si="3"/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2"/>
        <v/>
      </c>
      <c r="J69" s="15" t="str">
        <f t="shared" si="3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si="2"/>
        <v/>
      </c>
      <c r="J70" s="15" t="str">
        <f t="shared" si="3"/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ref="I74:I137" si="4">IF(SUM(B74:F74,H74)=0,"",SUM(B74:F74,H74))</f>
        <v/>
      </c>
      <c r="J74" s="15" t="str">
        <f t="shared" si="3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4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4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4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4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4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4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4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4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4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4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4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4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4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4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4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4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4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4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4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4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4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4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4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4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4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4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4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4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4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4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4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4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4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4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4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4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4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4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4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4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4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4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4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4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4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4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4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4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4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4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4"/>
        <v/>
      </c>
      <c r="J125" s="15" t="str">
        <f t="shared" ref="J125:J188" si="5">IF(I125="","",1440-I125)</f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4"/>
        <v/>
      </c>
      <c r="J126" s="15" t="str">
        <f t="shared" si="5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4"/>
        <v/>
      </c>
      <c r="J127" s="15" t="str">
        <f t="shared" si="5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4"/>
        <v/>
      </c>
      <c r="J128" s="15" t="str">
        <f t="shared" si="5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4"/>
        <v/>
      </c>
      <c r="J129" s="15" t="str">
        <f t="shared" si="5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4"/>
        <v/>
      </c>
      <c r="J130" s="15" t="str">
        <f t="shared" si="5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4"/>
        <v/>
      </c>
      <c r="J131" s="15" t="str">
        <f t="shared" si="5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4"/>
        <v/>
      </c>
      <c r="J132" s="15" t="str">
        <f t="shared" si="5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4"/>
        <v/>
      </c>
      <c r="J133" s="15" t="str">
        <f t="shared" si="5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si="4"/>
        <v/>
      </c>
      <c r="J134" s="15" t="str">
        <f t="shared" si="5"/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ref="I138:I201" si="6">IF(SUM(B138:F138,H138)=0,"",SUM(B138:F138,H138))</f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6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6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6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6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6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6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6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6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6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6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6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6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6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6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6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6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6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6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6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6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6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6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6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6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6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6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6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6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6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6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6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6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6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6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6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6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6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6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6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6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6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6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6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6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6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6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6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6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6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6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6"/>
        <v/>
      </c>
      <c r="J189" s="15" t="str">
        <f t="shared" ref="J189:J252" si="7">IF(I189="","",1440-I189)</f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6"/>
        <v/>
      </c>
      <c r="J190" s="15" t="str">
        <f t="shared" si="7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6"/>
        <v/>
      </c>
      <c r="J191" s="15" t="str">
        <f t="shared" si="7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6"/>
        <v/>
      </c>
      <c r="J192" s="15" t="str">
        <f t="shared" si="7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6"/>
        <v/>
      </c>
      <c r="J193" s="15" t="str">
        <f t="shared" si="7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6"/>
        <v/>
      </c>
      <c r="J194" s="15" t="str">
        <f t="shared" si="7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6"/>
        <v/>
      </c>
      <c r="J195" s="15" t="str">
        <f t="shared" si="7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6"/>
        <v/>
      </c>
      <c r="J196" s="15" t="str">
        <f t="shared" si="7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6"/>
        <v/>
      </c>
      <c r="J197" s="15" t="str">
        <f t="shared" si="7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si="6"/>
        <v/>
      </c>
      <c r="J198" s="15" t="str">
        <f t="shared" si="7"/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ref="I202:I265" si="8">IF(SUM(B202:F202,H202)=0,"",SUM(B202:F202,H202))</f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8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8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8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8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8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8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8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8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8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8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8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8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8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8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8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8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8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8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8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8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8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8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8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8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8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8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8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8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8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8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8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8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8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8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8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8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8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8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8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8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8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8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8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8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8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8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8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8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8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8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8"/>
        <v/>
      </c>
      <c r="J253" s="15" t="str">
        <f t="shared" ref="J253:J316" si="9">IF(I253="","",1440-I253)</f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8"/>
        <v/>
      </c>
      <c r="J254" s="15" t="str">
        <f t="shared" si="9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8"/>
        <v/>
      </c>
      <c r="J255" s="15" t="str">
        <f t="shared" si="9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8"/>
        <v/>
      </c>
      <c r="J256" s="15" t="str">
        <f t="shared" si="9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8"/>
        <v/>
      </c>
      <c r="J257" s="15" t="str">
        <f t="shared" si="9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8"/>
        <v/>
      </c>
      <c r="J258" s="15" t="str">
        <f t="shared" si="9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8"/>
        <v/>
      </c>
      <c r="J259" s="15" t="str">
        <f t="shared" si="9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8"/>
        <v/>
      </c>
      <c r="J260" s="15" t="str">
        <f t="shared" si="9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8"/>
        <v/>
      </c>
      <c r="J261" s="15" t="str">
        <f t="shared" si="9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si="8"/>
        <v/>
      </c>
      <c r="J262" s="15" t="str">
        <f t="shared" si="9"/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ref="I266:I329" si="10">IF(SUM(B266:F266,H266)=0,"",SUM(B266:F266,H266))</f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10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10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10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10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10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10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10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10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10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10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10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10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10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10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10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10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10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10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10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10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10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10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10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10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10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10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10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10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10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10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10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10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10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10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10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10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10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10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10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10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10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10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10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10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10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10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10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10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10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10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10"/>
        <v/>
      </c>
      <c r="J317" s="15" t="str">
        <f t="shared" ref="J317:J380" si="11">IF(I317="","",1440-I317)</f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10"/>
        <v/>
      </c>
      <c r="J318" s="15" t="str">
        <f t="shared" si="11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10"/>
        <v/>
      </c>
      <c r="J319" s="15" t="str">
        <f t="shared" si="11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10"/>
        <v/>
      </c>
      <c r="J320" s="15" t="str">
        <f t="shared" si="11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10"/>
        <v/>
      </c>
      <c r="J321" s="15" t="str">
        <f t="shared" si="11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10"/>
        <v/>
      </c>
      <c r="J322" s="15" t="str">
        <f t="shared" si="11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10"/>
        <v/>
      </c>
      <c r="J323" s="15" t="str">
        <f t="shared" si="11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10"/>
        <v/>
      </c>
      <c r="J324" s="15" t="str">
        <f t="shared" si="11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10"/>
        <v/>
      </c>
      <c r="J325" s="15" t="str">
        <f t="shared" si="11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si="10"/>
        <v/>
      </c>
      <c r="J326" s="15" t="str">
        <f t="shared" si="11"/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ref="I330:I392" si="12">IF(SUM(B330:F330,H330)=0,"",SUM(B330:F330,H330))</f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2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2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2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2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2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2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2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2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2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2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2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2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2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2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2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2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2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2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2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2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2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2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2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2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2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2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2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2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2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2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2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2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2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2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2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2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2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2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2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2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2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2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2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2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2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2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2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2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2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2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2"/>
        <v/>
      </c>
      <c r="J381" s="15" t="str">
        <f t="shared" ref="J381:J392" si="13">IF(I381="","",1440-I381)</f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2"/>
        <v/>
      </c>
      <c r="J382" s="15" t="str">
        <f t="shared" si="13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2"/>
        <v/>
      </c>
      <c r="J383" s="15" t="str">
        <f t="shared" si="13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2"/>
        <v/>
      </c>
      <c r="J384" s="15" t="str">
        <f t="shared" si="13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2"/>
        <v/>
      </c>
      <c r="J385" s="15" t="str">
        <f t="shared" si="13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2"/>
        <v/>
      </c>
      <c r="J386" s="15" t="str">
        <f t="shared" si="13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2"/>
        <v/>
      </c>
      <c r="J387" s="15" t="str">
        <f t="shared" si="13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2"/>
        <v/>
      </c>
      <c r="J388" s="15" t="str">
        <f t="shared" si="13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2"/>
        <v/>
      </c>
      <c r="J389" s="15" t="str">
        <f t="shared" si="13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si="12"/>
        <v/>
      </c>
      <c r="J390" s="15" t="str">
        <f t="shared" si="13"/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392">
    <cfRule type="cellIs" dxfId="0" priority="3" operator="lessThan">
      <formula>0</formula>
    </cfRule>
  </conditionalFormatting>
  <dataValidations count="3">
    <dataValidation type="list" allowBlank="1" error="Please choose a value from the dropdown list." prompt="Select today's overall feeling" sqref="K6:K392" xr:uid="{00000000-0002-0000-0100-000000000000}">
      <formula1>"Excellent,Good,Neutral,Low,Stressed"</formula1>
      <formula2>0</formula2>
    </dataValidation>
    <dataValidation type="list" allowBlank="1" prompt="Select today's satisfaction level" sqref="L6:L392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392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HP</cp:lastModifiedBy>
  <cp:revision>0</cp:revision>
  <dcterms:created xsi:type="dcterms:W3CDTF">2026-07-24T11:49:30Z</dcterms:created>
  <dcterms:modified xsi:type="dcterms:W3CDTF">2026-10-12T12:59:20Z</dcterms:modified>
  <dc:language>en-US</dc:language>
</cp:coreProperties>
</file>