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/>
  <mc:AlternateContent xmlns:mc="http://schemas.openxmlformats.org/markup-compatibility/2006">
    <mc:Choice Requires="x15">
      <x15ac:absPath xmlns:x15ac="http://schemas.microsoft.com/office/spreadsheetml/2010/11/ac" url="D:\12616871_CAP776_D1P2632\"/>
    </mc:Choice>
  </mc:AlternateContent>
  <xr:revisionPtr revIDLastSave="0" documentId="13_ncr:1_{D8E01DDA-CE50-41AD-86DC-B7F577FEC9A8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8" i="2" l="1"/>
  <c r="J8" i="2" s="1"/>
  <c r="I18" i="2"/>
  <c r="J18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<sst xmlns="http://schemas.openxmlformats.org/spreadsheetml/2006/main" count="144" uniqueCount="84">
  <si>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</si>
  <si>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</si>
  <si>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</si>
  <si>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</si>
  <si>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</si>
  <si>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</si>
  <si>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</si>
  <si>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</si>
  <si>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</si>
  <si>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</si>
  <si>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</si>
  <si>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</si>
  <si>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</si>
  <si>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</si>
  <si>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</si>
  <si>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</si>
  <si>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</si>
  <si>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</si>
  <si>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</si>
  <si>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</si>
  <si>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</si>
  <si>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</si>
  <si>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</si>
  <si>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</si>
  <si>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</si>
  <si>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</si>
  <si>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</si>
  <si>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</si>
  <si>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</si>
  <si>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</si>
  <si>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</si>
  <si>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</si>
  <si>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</si>
  <si>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</si>
  <si>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</si>
  <si>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</si>
  <si>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</si>
  <si>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</si>
  <si>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</si>
  <si>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</si>
  <si>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</si>
  <si>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</si>
  <si>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</si>
  <si>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</si>
  <si>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</si>
  <si>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</si>
  <si>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</si>
  <si>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</si>
  <si>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</si>
  <si>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</si>
  <si>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</si>
  <si>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</si>
  <si>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</si>
  <si>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Neutral</t>
  </si>
  <si>
    <t>High</t>
  </si>
  <si>
    <t xml:space="preserve"> Felt a bit tired after evening class.</t>
  </si>
  <si>
    <t>Felt energetic and attend an evening event at Unipolis.</t>
  </si>
  <si>
    <t>Felt very tired in the evening due to continuous class.</t>
  </si>
  <si>
    <t>Jay Govind Kumar</t>
  </si>
  <si>
    <t>MCA (Core) / D1P2632</t>
  </si>
  <si>
    <t>August</t>
  </si>
  <si>
    <t>Excellent</t>
  </si>
  <si>
    <t>Very Satisfied</t>
  </si>
  <si>
    <t>Low</t>
  </si>
  <si>
    <t>I feel energetic after attending the spiritual class.</t>
  </si>
  <si>
    <t>I was feeling tired due to a lack of sleep, but I started feeling better after hanging out with friends.</t>
  </si>
  <si>
    <t>No any feeling for today.</t>
  </si>
  <si>
    <t>A normal Day.</t>
  </si>
  <si>
    <t>Unsatisfied</t>
  </si>
  <si>
    <t>Feeling very tired due to heavy schedule.</t>
  </si>
  <si>
    <t>Feeling happy.</t>
  </si>
  <si>
    <t>Very Unsatisfied</t>
  </si>
  <si>
    <t>Feel energetic because we had only 3 classes today.</t>
  </si>
  <si>
    <t>Feeling low because I am away from home and today is Rakhi.</t>
  </si>
  <si>
    <t>Not at All</t>
  </si>
  <si>
    <t>Not At All</t>
  </si>
  <si>
    <t>Very ttred due to room shift.</t>
  </si>
  <si>
    <t>A hectic day</t>
  </si>
  <si>
    <t>Just a normal day.</t>
  </si>
  <si>
    <t>Enjoy.</t>
  </si>
  <si>
    <t>Stressed</t>
  </si>
  <si>
    <t xml:space="preserve">  </t>
  </si>
  <si>
    <t>To much work done by today evening.</t>
  </si>
  <si>
    <t>Enjoy the holiday and prepaqre for Ca's.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</si>
</sst>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3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4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164" fontId="10" fillId="2" borderId="2" xfId="0" applyNumberFormat="1" applyFont="1" applyFill="1" applyBorder="1" applyAlignment="1">
      <alignment horizontal="center" vertical="center" wrapText="1"/>
    </xf>
    <xf numFmtId="1" fontId="10" fillId="2" borderId="2" xfId="0" applyNumberFormat="1" applyFont="1" applyFill="1" applyBorder="1" applyAlignment="1">
      <alignment horizontal="center" vertical="center" wrapText="1"/>
    </xf>
    <xf numFmtId="1" fontId="10" fillId="0" borderId="2" xfId="0" applyNumberFormat="1" applyFont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center" vertical="center" wrapText="1"/>
    </xf>
    <xf numFmtId="0" fontId="10" fillId="2" borderId="2" xfId="0" applyFont="1" applyFill="1" applyBorder="1" applyAlignment="1">
      <alignment horizontal="left" vertical="center" wrapText="1"/>
    </xf>
    <xf numFmtId="164" fontId="10" fillId="2" borderId="3" xfId="0" applyNumberFormat="1" applyFont="1" applyFill="1" applyBorder="1" applyAlignment="1">
      <alignment horizontal="center" vertical="center" wrapText="1"/>
    </xf>
    <xf numFmtId="1" fontId="10" fillId="2" borderId="3" xfId="0" applyNumberFormat="1" applyFont="1" applyFill="1" applyBorder="1" applyAlignment="1">
      <alignment horizontal="center" vertical="center" wrapText="1"/>
    </xf>
    <xf numFmtId="1" fontId="10" fillId="0" borderId="3" xfId="0" applyNumberFormat="1" applyFont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center" vertical="center" wrapText="1"/>
    </xf>
    <xf numFmtId="0" fontId="10" fillId="2" borderId="3" xfId="0" applyFont="1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12" fillId="2" borderId="1" xfId="0" applyFont="1" applyFill="1" applyBorder="1" applyAlignment="1">
      <alignment horizontal="center" vertical="center"/>
    </xf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9"/>
  <sheetViews>
    <sheetView showGridLines="0" tabSelected="1" zoomScaleNormal="100" workbookViewId="0">
      <pane xSplit="1" ySplit="5" topLeftCell="B26" activePane="bottomRight" state="frozen"/>
      <selection pane="topRight" activeCell="B1" sqref="B1"/>
      <selection pane="bottomLeft" activeCell="A6" sqref="A6"/>
      <selection pane="bottomRight" activeCell="N34" sqref="N34"/>
    </sheetView>
  </sheetViews>
  <sheetFormatPr defaultColWidth="8.6640625" defaultRowHeight="14.4" x14ac:dyDescent="0.3"/>
  <cols>
    <col min="1" max="1" width="18" bestFit="1" customWidth="1"/>
    <col min="2" max="4" width="11" customWidth="1"/>
    <col min="5" max="5" width="17.5546875" bestFit="1" customWidth="1"/>
    <col min="6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29" t="s">
        <v>29</v>
      </c>
      <c r="B1" s="29"/>
      <c r="C1" s="29"/>
      <c r="D1" s="29"/>
      <c r="E1" s="29"/>
      <c r="F1" s="29"/>
      <c r="G1" s="29"/>
      <c r="H1" s="29"/>
      <c r="I1" s="29"/>
      <c r="J1" s="29"/>
      <c r="K1" s="29"/>
      <c r="L1" s="29"/>
      <c r="M1" s="29"/>
      <c r="N1" s="29"/>
    </row>
    <row r="2" spans="1:14" ht="19.5" customHeight="1" x14ac:dyDescent="0.3">
      <c r="A2" s="6" t="s">
        <v>30</v>
      </c>
      <c r="B2" s="30" t="s">
        <v>58</v>
      </c>
      <c r="C2" s="30"/>
      <c r="D2" s="30"/>
      <c r="E2" s="6" t="s">
        <v>31</v>
      </c>
      <c r="F2" s="30">
        <v>12616871</v>
      </c>
      <c r="G2" s="30"/>
    </row>
    <row r="3" spans="1:14" ht="19.5" customHeight="1" x14ac:dyDescent="0.3">
      <c r="A3" s="6" t="s">
        <v>32</v>
      </c>
      <c r="B3" s="30" t="s">
        <v>59</v>
      </c>
      <c r="C3" s="30"/>
      <c r="D3" s="30"/>
      <c r="E3" s="6" t="s">
        <v>33</v>
      </c>
      <c r="F3" s="30" t="s">
        <v>60</v>
      </c>
      <c r="G3" s="30"/>
    </row>
    <row r="4" spans="1:14" x14ac:dyDescent="0.3">
      <c r="A4" s="28" t="s">
        <v>34</v>
      </c>
      <c r="B4" s="28"/>
      <c r="C4" s="28"/>
      <c r="D4" s="28"/>
      <c r="E4" s="28"/>
      <c r="F4" s="28"/>
      <c r="G4" s="28"/>
      <c r="H4" s="28"/>
      <c r="I4" s="28"/>
      <c r="J4" s="28"/>
      <c r="K4" s="28"/>
      <c r="L4" s="28"/>
      <c r="M4" s="28"/>
      <c r="N4" s="2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46252</v>
      </c>
      <c r="B6" s="9">
        <v>480</v>
      </c>
      <c r="C6" s="9">
        <v>45</v>
      </c>
      <c r="D6" s="9">
        <v>120</v>
      </c>
      <c r="E6" s="9">
        <v>90</v>
      </c>
      <c r="F6" s="9">
        <v>250</v>
      </c>
      <c r="G6" s="9">
        <v>5</v>
      </c>
      <c r="H6" s="9">
        <v>30</v>
      </c>
      <c r="I6" s="10">
        <f t="shared" ref="I6:I17" si="0">IF(SUM(B6:F6,H6)=0,"",SUM(B6:F6,H6))</f>
        <v>1015</v>
      </c>
      <c r="J6" s="10">
        <f t="shared" ref="J6:J67" si="1">IF(I6="","",1440-I6)</f>
        <v>425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ht="28.8" x14ac:dyDescent="0.3">
      <c r="A7" s="8">
        <v>46253</v>
      </c>
      <c r="B7" s="9">
        <v>350</v>
      </c>
      <c r="C7" s="9">
        <v>80</v>
      </c>
      <c r="D7" s="9">
        <v>90</v>
      </c>
      <c r="E7" s="9">
        <v>30</v>
      </c>
      <c r="F7" s="9">
        <v>350</v>
      </c>
      <c r="G7" s="9">
        <v>7</v>
      </c>
      <c r="H7" s="9">
        <v>210</v>
      </c>
      <c r="I7" s="10">
        <f t="shared" si="0"/>
        <v>1110</v>
      </c>
      <c r="J7" s="10">
        <f>IF(I7="","",1440-I7)</f>
        <v>330</v>
      </c>
      <c r="K7" s="11" t="s">
        <v>49</v>
      </c>
      <c r="L7" s="11" t="s">
        <v>53</v>
      </c>
      <c r="M7" s="11" t="s">
        <v>51</v>
      </c>
      <c r="N7" s="12" t="s">
        <v>57</v>
      </c>
    </row>
    <row r="8" spans="1:14" ht="28.8" x14ac:dyDescent="0.3">
      <c r="A8" s="8">
        <v>46254</v>
      </c>
      <c r="B8" s="9">
        <v>300</v>
      </c>
      <c r="C8" s="9">
        <v>50</v>
      </c>
      <c r="D8" s="9">
        <v>135</v>
      </c>
      <c r="E8" s="9">
        <v>60</v>
      </c>
      <c r="F8" s="9">
        <v>150</v>
      </c>
      <c r="G8" s="9">
        <v>3</v>
      </c>
      <c r="H8" s="9">
        <v>420</v>
      </c>
      <c r="I8" s="10">
        <f>IF(SUM(B8:F8,H8)=0,"",SUM(B8:F8,H8))</f>
        <v>1115</v>
      </c>
      <c r="J8" s="10">
        <f t="shared" si="1"/>
        <v>325</v>
      </c>
      <c r="K8" s="11" t="s">
        <v>61</v>
      </c>
      <c r="L8" s="11" t="s">
        <v>50</v>
      </c>
      <c r="M8" s="11" t="s">
        <v>54</v>
      </c>
      <c r="N8" s="12" t="s">
        <v>56</v>
      </c>
    </row>
    <row r="9" spans="1:14" x14ac:dyDescent="0.3">
      <c r="A9" s="8">
        <v>46255</v>
      </c>
      <c r="B9" s="9">
        <v>210</v>
      </c>
      <c r="C9" s="9">
        <v>95</v>
      </c>
      <c r="D9" s="9">
        <v>135</v>
      </c>
      <c r="E9" s="9">
        <v>72</v>
      </c>
      <c r="F9" s="9">
        <v>250</v>
      </c>
      <c r="G9" s="9">
        <v>5</v>
      </c>
      <c r="H9" s="9">
        <v>270</v>
      </c>
      <c r="I9" s="10">
        <f t="shared" si="0"/>
        <v>1032</v>
      </c>
      <c r="J9" s="10">
        <f>IF(I9="","",1440-I9)</f>
        <v>408</v>
      </c>
      <c r="K9" s="11" t="s">
        <v>53</v>
      </c>
      <c r="L9" s="11" t="s">
        <v>53</v>
      </c>
      <c r="M9" s="11" t="s">
        <v>63</v>
      </c>
      <c r="N9" s="12" t="s">
        <v>66</v>
      </c>
    </row>
    <row r="10" spans="1:14" ht="57.6" x14ac:dyDescent="0.3">
      <c r="A10" s="8">
        <v>46256</v>
      </c>
      <c r="B10" s="9">
        <v>75</v>
      </c>
      <c r="C10" s="9">
        <v>125</v>
      </c>
      <c r="D10" s="9">
        <v>210</v>
      </c>
      <c r="E10" s="9">
        <v>0</v>
      </c>
      <c r="F10" s="9">
        <v>0</v>
      </c>
      <c r="G10" s="9">
        <v>0</v>
      </c>
      <c r="H10" s="9">
        <v>584</v>
      </c>
      <c r="I10" s="10">
        <f t="shared" si="0"/>
        <v>994</v>
      </c>
      <c r="J10" s="10">
        <f t="shared" si="1"/>
        <v>446</v>
      </c>
      <c r="K10" s="11" t="s">
        <v>49</v>
      </c>
      <c r="L10" s="11" t="s">
        <v>62</v>
      </c>
      <c r="M10" s="11" t="s">
        <v>54</v>
      </c>
      <c r="N10" s="12" t="s">
        <v>65</v>
      </c>
    </row>
    <row r="11" spans="1:14" ht="28.8" x14ac:dyDescent="0.3">
      <c r="A11" s="8">
        <v>46257</v>
      </c>
      <c r="B11" s="9">
        <v>320</v>
      </c>
      <c r="C11" s="9">
        <v>30</v>
      </c>
      <c r="D11" s="9">
        <v>75</v>
      </c>
      <c r="E11" s="9">
        <v>93</v>
      </c>
      <c r="F11" s="9">
        <v>0</v>
      </c>
      <c r="G11" s="9">
        <v>0</v>
      </c>
      <c r="H11" s="9">
        <v>345</v>
      </c>
      <c r="I11" s="10">
        <f t="shared" si="0"/>
        <v>863</v>
      </c>
      <c r="J11" s="10">
        <f t="shared" si="1"/>
        <v>577</v>
      </c>
      <c r="K11" s="11" t="s">
        <v>61</v>
      </c>
      <c r="L11" s="11" t="s">
        <v>62</v>
      </c>
      <c r="M11" s="11" t="s">
        <v>54</v>
      </c>
      <c r="N11" s="12" t="s">
        <v>64</v>
      </c>
    </row>
    <row r="12" spans="1:14" x14ac:dyDescent="0.3">
      <c r="A12" s="8">
        <v>46258</v>
      </c>
      <c r="B12" s="9">
        <v>280</v>
      </c>
      <c r="C12" s="9">
        <v>48</v>
      </c>
      <c r="D12" s="9">
        <v>150</v>
      </c>
      <c r="E12" s="9">
        <v>60</v>
      </c>
      <c r="F12" s="9">
        <v>250</v>
      </c>
      <c r="G12" s="9">
        <v>5</v>
      </c>
      <c r="H12" s="9">
        <v>100</v>
      </c>
      <c r="I12" s="10">
        <f t="shared" si="0"/>
        <v>888</v>
      </c>
      <c r="J12" s="10">
        <f t="shared" si="1"/>
        <v>552</v>
      </c>
      <c r="K12" s="11" t="s">
        <v>49</v>
      </c>
      <c r="L12" s="11" t="s">
        <v>50</v>
      </c>
      <c r="M12" s="11" t="s">
        <v>51</v>
      </c>
      <c r="N12" s="12" t="s">
        <v>67</v>
      </c>
    </row>
    <row r="13" spans="1:14" ht="28.8" x14ac:dyDescent="0.3">
      <c r="A13" s="8">
        <v>46259</v>
      </c>
      <c r="B13" s="9">
        <v>270</v>
      </c>
      <c r="C13" s="9">
        <v>65</v>
      </c>
      <c r="D13" s="9">
        <v>150</v>
      </c>
      <c r="E13" s="9">
        <v>100</v>
      </c>
      <c r="F13" s="9">
        <v>150</v>
      </c>
      <c r="G13" s="9">
        <v>3</v>
      </c>
      <c r="H13" s="9">
        <v>200</v>
      </c>
      <c r="I13" s="10">
        <f t="shared" si="0"/>
        <v>935</v>
      </c>
      <c r="J13" s="10">
        <f t="shared" si="1"/>
        <v>505</v>
      </c>
      <c r="K13" s="11" t="s">
        <v>61</v>
      </c>
      <c r="L13" s="11" t="s">
        <v>62</v>
      </c>
      <c r="M13" s="11" t="s">
        <v>54</v>
      </c>
      <c r="N13" s="12" t="s">
        <v>72</v>
      </c>
    </row>
    <row r="14" spans="1:14" ht="28.8" x14ac:dyDescent="0.3">
      <c r="A14" s="8">
        <v>46260</v>
      </c>
      <c r="B14" s="9">
        <v>450</v>
      </c>
      <c r="C14" s="9">
        <v>80</v>
      </c>
      <c r="D14" s="9">
        <v>70</v>
      </c>
      <c r="E14" s="9">
        <v>150</v>
      </c>
      <c r="F14" s="9">
        <v>8</v>
      </c>
      <c r="G14" s="9">
        <v>400</v>
      </c>
      <c r="H14" s="9">
        <v>150</v>
      </c>
      <c r="I14" s="10">
        <f t="shared" si="0"/>
        <v>908</v>
      </c>
      <c r="J14" s="10">
        <f t="shared" si="1"/>
        <v>532</v>
      </c>
      <c r="K14" s="11" t="s">
        <v>63</v>
      </c>
      <c r="L14" s="11" t="s">
        <v>68</v>
      </c>
      <c r="M14" s="11" t="s">
        <v>63</v>
      </c>
      <c r="N14" s="12" t="s">
        <v>69</v>
      </c>
    </row>
    <row r="15" spans="1:14" x14ac:dyDescent="0.3">
      <c r="A15" s="8">
        <v>46261</v>
      </c>
      <c r="B15" s="9">
        <v>320</v>
      </c>
      <c r="C15" s="9">
        <v>100</v>
      </c>
      <c r="D15" s="9">
        <v>300</v>
      </c>
      <c r="E15" s="9">
        <v>90</v>
      </c>
      <c r="F15" s="9">
        <v>3</v>
      </c>
      <c r="G15" s="9">
        <v>150</v>
      </c>
      <c r="H15" s="9">
        <v>150</v>
      </c>
      <c r="I15" s="10">
        <f t="shared" si="0"/>
        <v>963</v>
      </c>
      <c r="J15" s="10">
        <f t="shared" si="1"/>
        <v>477</v>
      </c>
      <c r="K15" s="11" t="s">
        <v>61</v>
      </c>
      <c r="L15" s="11" t="s">
        <v>62</v>
      </c>
      <c r="M15" s="11" t="s">
        <v>51</v>
      </c>
      <c r="N15" s="12" t="s">
        <v>70</v>
      </c>
    </row>
    <row r="16" spans="1:14" ht="43.2" x14ac:dyDescent="0.3">
      <c r="A16" s="8">
        <v>46262</v>
      </c>
      <c r="B16" s="9">
        <v>300</v>
      </c>
      <c r="C16" s="9">
        <v>120</v>
      </c>
      <c r="D16" s="9">
        <v>60</v>
      </c>
      <c r="E16" s="9">
        <v>0</v>
      </c>
      <c r="F16" s="9">
        <v>250</v>
      </c>
      <c r="G16" s="9">
        <v>5</v>
      </c>
      <c r="H16" s="9">
        <v>150</v>
      </c>
      <c r="I16" s="10">
        <f t="shared" si="0"/>
        <v>880</v>
      </c>
      <c r="J16" s="10">
        <f t="shared" si="1"/>
        <v>560</v>
      </c>
      <c r="K16" s="11" t="s">
        <v>63</v>
      </c>
      <c r="L16" s="11" t="s">
        <v>71</v>
      </c>
      <c r="M16" s="11" t="s">
        <v>51</v>
      </c>
      <c r="N16" s="12" t="s">
        <v>73</v>
      </c>
    </row>
    <row r="17" spans="1:14" x14ac:dyDescent="0.3">
      <c r="A17" s="8">
        <v>46263</v>
      </c>
      <c r="B17" s="9">
        <v>350</v>
      </c>
      <c r="C17" s="9">
        <v>60</v>
      </c>
      <c r="D17" s="9">
        <v>300</v>
      </c>
      <c r="E17" s="9">
        <v>120</v>
      </c>
      <c r="F17" s="9">
        <v>0</v>
      </c>
      <c r="G17" s="9">
        <v>0</v>
      </c>
      <c r="H17" s="9">
        <v>250</v>
      </c>
      <c r="I17" s="10">
        <f t="shared" si="0"/>
        <v>1080</v>
      </c>
      <c r="J17" s="10">
        <f t="shared" si="1"/>
        <v>360</v>
      </c>
      <c r="K17" s="11" t="s">
        <v>49</v>
      </c>
      <c r="L17" s="11" t="s">
        <v>50</v>
      </c>
      <c r="M17" s="11" t="s">
        <v>54</v>
      </c>
      <c r="N17" s="12" t="s">
        <v>74</v>
      </c>
    </row>
    <row r="18" spans="1:14" x14ac:dyDescent="0.3">
      <c r="A18" s="8">
        <v>46264</v>
      </c>
      <c r="B18" s="9">
        <v>440</v>
      </c>
      <c r="C18" s="9">
        <v>45</v>
      </c>
      <c r="D18" s="9">
        <v>270</v>
      </c>
      <c r="E18" s="9">
        <v>90</v>
      </c>
      <c r="F18" s="9">
        <v>0</v>
      </c>
      <c r="G18" s="9">
        <v>0</v>
      </c>
      <c r="H18" s="9">
        <v>400</v>
      </c>
      <c r="I18" s="10">
        <f t="shared" ref="I18:I80" si="2">IF(SUM(B18:F18,H18)=0,"",SUM(B18:F18,H18))</f>
        <v>1245</v>
      </c>
      <c r="J18" s="10">
        <f t="shared" si="1"/>
        <v>195</v>
      </c>
      <c r="K18" s="11" t="s">
        <v>53</v>
      </c>
      <c r="L18" s="11" t="s">
        <v>53</v>
      </c>
      <c r="M18" s="11" t="s">
        <v>63</v>
      </c>
      <c r="N18" s="12" t="s">
        <v>75</v>
      </c>
    </row>
    <row r="19" spans="1:14" x14ac:dyDescent="0.3">
      <c r="A19" s="18">
        <v>46265</v>
      </c>
      <c r="B19" s="19">
        <v>230</v>
      </c>
      <c r="C19" s="19">
        <v>90</v>
      </c>
      <c r="D19" s="19">
        <v>90</v>
      </c>
      <c r="E19" s="19">
        <v>120</v>
      </c>
      <c r="F19" s="19">
        <v>300</v>
      </c>
      <c r="G19" s="19">
        <v>6</v>
      </c>
      <c r="H19" s="19">
        <v>270</v>
      </c>
      <c r="I19" s="20">
        <f t="shared" si="2"/>
        <v>1100</v>
      </c>
      <c r="J19" s="20">
        <f t="shared" si="1"/>
        <v>340</v>
      </c>
      <c r="K19" s="21" t="s">
        <v>49</v>
      </c>
      <c r="L19" s="21" t="s">
        <v>50</v>
      </c>
      <c r="M19" s="21" t="s">
        <v>51</v>
      </c>
      <c r="N19" s="22" t="s">
        <v>76</v>
      </c>
    </row>
    <row r="20" spans="1:14" x14ac:dyDescent="0.3">
      <c r="A20" s="23">
        <v>46266</v>
      </c>
      <c r="B20" s="24">
        <v>450</v>
      </c>
      <c r="C20" s="24">
        <v>80</v>
      </c>
      <c r="D20" s="24">
        <v>130</v>
      </c>
      <c r="E20" s="24">
        <v>45</v>
      </c>
      <c r="F20" s="24">
        <v>150</v>
      </c>
      <c r="G20" s="24">
        <v>3</v>
      </c>
      <c r="H20" s="24">
        <v>260</v>
      </c>
      <c r="I20" s="25">
        <f t="shared" si="2"/>
        <v>1115</v>
      </c>
      <c r="J20" s="25">
        <f t="shared" si="1"/>
        <v>325</v>
      </c>
      <c r="K20" s="26" t="s">
        <v>61</v>
      </c>
      <c r="L20" s="26" t="s">
        <v>62</v>
      </c>
      <c r="M20" s="26" t="s">
        <v>54</v>
      </c>
      <c r="N20" s="27"/>
    </row>
    <row r="21" spans="1:14" x14ac:dyDescent="0.3">
      <c r="A21" s="8">
        <v>46267</v>
      </c>
      <c r="B21" s="9">
        <v>400</v>
      </c>
      <c r="C21" s="9">
        <v>35</v>
      </c>
      <c r="D21" s="9">
        <v>150</v>
      </c>
      <c r="E21" s="9">
        <v>100</v>
      </c>
      <c r="F21" s="9">
        <v>400</v>
      </c>
      <c r="G21" s="9">
        <v>8</v>
      </c>
      <c r="H21" s="9">
        <v>90</v>
      </c>
      <c r="I21" s="10">
        <f t="shared" si="2"/>
        <v>1175</v>
      </c>
      <c r="J21" s="10">
        <f t="shared" si="1"/>
        <v>265</v>
      </c>
      <c r="K21" s="11" t="s">
        <v>49</v>
      </c>
      <c r="L21" s="11" t="s">
        <v>50</v>
      </c>
      <c r="M21" s="11" t="s">
        <v>63</v>
      </c>
      <c r="N21" s="12" t="s">
        <v>77</v>
      </c>
    </row>
    <row r="22" spans="1:14" x14ac:dyDescent="0.3">
      <c r="A22" s="8">
        <v>46268</v>
      </c>
      <c r="B22" s="9">
        <v>420</v>
      </c>
      <c r="C22" s="9">
        <v>150</v>
      </c>
      <c r="D22" s="9">
        <v>60</v>
      </c>
      <c r="E22" s="9">
        <v>100</v>
      </c>
      <c r="F22" s="9">
        <v>300</v>
      </c>
      <c r="G22" s="9">
        <v>6</v>
      </c>
      <c r="H22" s="9">
        <v>80</v>
      </c>
      <c r="I22" s="10">
        <f t="shared" si="2"/>
        <v>1110</v>
      </c>
      <c r="J22" s="10">
        <f t="shared" si="1"/>
        <v>330</v>
      </c>
      <c r="K22" s="11" t="s">
        <v>61</v>
      </c>
      <c r="L22" s="11" t="s">
        <v>50</v>
      </c>
      <c r="M22" s="11" t="s">
        <v>51</v>
      </c>
      <c r="N22" s="12" t="s">
        <v>78</v>
      </c>
    </row>
    <row r="23" spans="1:14" x14ac:dyDescent="0.3">
      <c r="A23" s="8">
        <v>46269</v>
      </c>
      <c r="B23" s="9">
        <v>370</v>
      </c>
      <c r="C23" s="9">
        <v>180</v>
      </c>
      <c r="D23" s="9">
        <v>180</v>
      </c>
      <c r="E23" s="9">
        <v>70</v>
      </c>
      <c r="F23" s="9">
        <v>250</v>
      </c>
      <c r="G23" s="9">
        <v>5</v>
      </c>
      <c r="H23" s="9">
        <v>100</v>
      </c>
      <c r="I23" s="10">
        <f t="shared" si="2"/>
        <v>1150</v>
      </c>
      <c r="J23" s="10">
        <f t="shared" si="1"/>
        <v>290</v>
      </c>
      <c r="K23" s="11" t="s">
        <v>49</v>
      </c>
      <c r="L23" s="11" t="s">
        <v>50</v>
      </c>
      <c r="M23" s="11" t="s">
        <v>51</v>
      </c>
      <c r="N23" s="12" t="s">
        <v>67</v>
      </c>
    </row>
    <row r="24" spans="1:14" x14ac:dyDescent="0.3">
      <c r="A24" s="8">
        <v>46270</v>
      </c>
      <c r="B24" s="9">
        <v>500</v>
      </c>
      <c r="C24" s="9">
        <v>200</v>
      </c>
      <c r="D24" s="9">
        <v>120</v>
      </c>
      <c r="E24" s="9">
        <v>60</v>
      </c>
      <c r="F24" s="9">
        <v>0</v>
      </c>
      <c r="G24" s="9">
        <v>0</v>
      </c>
      <c r="H24" s="9">
        <v>190</v>
      </c>
      <c r="I24" s="10">
        <f t="shared" si="2"/>
        <v>1070</v>
      </c>
      <c r="J24" s="10">
        <f t="shared" si="1"/>
        <v>370</v>
      </c>
      <c r="K24" s="11" t="s">
        <v>49</v>
      </c>
      <c r="L24" s="11" t="s">
        <v>53</v>
      </c>
      <c r="M24" s="11" t="s">
        <v>51</v>
      </c>
      <c r="N24" s="12" t="s">
        <v>79</v>
      </c>
    </row>
    <row r="25" spans="1:14" ht="28.8" x14ac:dyDescent="0.3">
      <c r="A25" s="8">
        <v>46271</v>
      </c>
      <c r="B25" s="9">
        <v>385</v>
      </c>
      <c r="C25" s="9">
        <v>135</v>
      </c>
      <c r="D25" s="9">
        <v>200</v>
      </c>
      <c r="E25" s="9">
        <v>120</v>
      </c>
      <c r="F25" s="9">
        <v>0</v>
      </c>
      <c r="G25" s="9">
        <v>0</v>
      </c>
      <c r="H25" s="9">
        <v>150</v>
      </c>
      <c r="I25" s="10">
        <f t="shared" si="2"/>
        <v>990</v>
      </c>
      <c r="J25" s="10">
        <f t="shared" si="1"/>
        <v>450</v>
      </c>
      <c r="K25" s="11" t="s">
        <v>53</v>
      </c>
      <c r="L25" s="11" t="s">
        <v>50</v>
      </c>
      <c r="M25" s="11" t="s">
        <v>51</v>
      </c>
      <c r="N25" s="12" t="s">
        <v>83</v>
      </c>
    </row>
    <row r="26" spans="1:14" x14ac:dyDescent="0.3">
      <c r="A26" s="8">
        <v>46272</v>
      </c>
      <c r="B26" s="9">
        <v>400</v>
      </c>
      <c r="C26" s="9">
        <v>180</v>
      </c>
      <c r="D26" s="9">
        <v>150</v>
      </c>
      <c r="E26" s="9">
        <v>100</v>
      </c>
      <c r="F26" s="9">
        <v>300</v>
      </c>
      <c r="G26" s="9">
        <v>6</v>
      </c>
      <c r="H26" s="9">
        <v>215</v>
      </c>
      <c r="I26" s="10">
        <f t="shared" si="2"/>
        <v>1345</v>
      </c>
      <c r="J26" s="10">
        <f t="shared" si="1"/>
        <v>95</v>
      </c>
      <c r="K26" s="11" t="s">
        <v>61</v>
      </c>
      <c r="L26" s="11" t="s">
        <v>62</v>
      </c>
      <c r="M26" s="11" t="s">
        <v>51</v>
      </c>
      <c r="N26" s="12"/>
    </row>
    <row r="27" spans="1:14" ht="28.8" x14ac:dyDescent="0.3">
      <c r="A27" s="8">
        <v>46273</v>
      </c>
      <c r="B27" s="9">
        <v>480</v>
      </c>
      <c r="C27" s="9">
        <v>120</v>
      </c>
      <c r="D27" s="9">
        <v>60</v>
      </c>
      <c r="E27" s="9">
        <v>20</v>
      </c>
      <c r="F27" s="9">
        <v>150</v>
      </c>
      <c r="G27" s="9">
        <v>3</v>
      </c>
      <c r="H27" s="9">
        <v>240</v>
      </c>
      <c r="I27" s="10">
        <f t="shared" si="2"/>
        <v>1070</v>
      </c>
      <c r="J27" s="10">
        <f t="shared" si="1"/>
        <v>370</v>
      </c>
      <c r="K27" s="11" t="s">
        <v>80</v>
      </c>
      <c r="L27" s="11" t="s">
        <v>53</v>
      </c>
      <c r="M27" s="11" t="s">
        <v>63</v>
      </c>
      <c r="N27" s="12" t="s">
        <v>82</v>
      </c>
    </row>
    <row r="28" spans="1:14" ht="28.8" x14ac:dyDescent="0.3">
      <c r="A28" s="8">
        <v>46274</v>
      </c>
      <c r="B28" s="9">
        <v>300</v>
      </c>
      <c r="C28" s="9">
        <v>60</v>
      </c>
      <c r="D28" s="9">
        <v>200</v>
      </c>
      <c r="E28" s="9">
        <v>120</v>
      </c>
      <c r="F28" s="9">
        <v>400</v>
      </c>
      <c r="G28" s="9">
        <v>8</v>
      </c>
      <c r="H28" s="9">
        <v>150</v>
      </c>
      <c r="I28" s="10">
        <f t="shared" si="2"/>
        <v>1230</v>
      </c>
      <c r="J28" s="10">
        <f t="shared" si="1"/>
        <v>210</v>
      </c>
      <c r="K28" s="11" t="s">
        <v>49</v>
      </c>
      <c r="L28" s="11" t="s">
        <v>50</v>
      </c>
      <c r="M28" s="11" t="s">
        <v>51</v>
      </c>
      <c r="N28" s="12" t="s">
        <v>69</v>
      </c>
    </row>
    <row r="29" spans="1:14" x14ac:dyDescent="0.3">
      <c r="A29" s="8"/>
      <c r="B29" s="9"/>
      <c r="C29" s="9"/>
      <c r="D29" s="9"/>
      <c r="E29" s="9"/>
      <c r="F29" s="9"/>
      <c r="G29" s="9"/>
      <c r="H29" s="9"/>
      <c r="I29" s="10" t="str">
        <f t="shared" si="2"/>
        <v/>
      </c>
      <c r="J29" s="10" t="str">
        <f t="shared" si="1"/>
        <v/>
      </c>
      <c r="K29" s="11"/>
      <c r="L29" s="11"/>
      <c r="M29" s="11"/>
      <c r="N29" s="12"/>
    </row>
    <row r="30" spans="1:14" x14ac:dyDescent="0.3">
      <c r="A30" s="8"/>
      <c r="B30" s="9"/>
      <c r="C30" s="9"/>
      <c r="D30" s="9"/>
      <c r="E30" s="9"/>
      <c r="F30" s="9"/>
      <c r="G30" s="9"/>
      <c r="H30" s="9"/>
      <c r="I30" s="10" t="str">
        <f t="shared" si="2"/>
        <v/>
      </c>
      <c r="J30" s="10" t="str">
        <f t="shared" si="1"/>
        <v/>
      </c>
      <c r="K30" s="11"/>
      <c r="L30" s="11"/>
      <c r="M30" s="11"/>
      <c r="N30" s="12"/>
    </row>
    <row r="31" spans="1:14" x14ac:dyDescent="0.3">
      <c r="A31" s="8"/>
      <c r="B31" s="9"/>
      <c r="C31" s="9"/>
      <c r="D31" s="9"/>
      <c r="E31" s="9"/>
      <c r="F31" s="9"/>
      <c r="G31" s="9" t="s">
        <v>81</v>
      </c>
      <c r="H31" s="9"/>
      <c r="I31" s="10" t="str">
        <f t="shared" si="2"/>
        <v/>
      </c>
      <c r="J31" s="10" t="str">
        <f t="shared" si="1"/>
        <v/>
      </c>
      <c r="K31" s="11"/>
      <c r="L31" s="11"/>
      <c r="M31" s="11"/>
      <c r="N31" s="12"/>
    </row>
    <row r="32" spans="1:14" x14ac:dyDescent="0.3">
      <c r="A32" s="8"/>
      <c r="B32" s="9"/>
      <c r="C32" s="9"/>
      <c r="D32" s="9"/>
      <c r="E32" s="9"/>
      <c r="F32" s="9"/>
      <c r="G32" s="9"/>
      <c r="H32" s="9"/>
      <c r="I32" s="10" t="str">
        <f t="shared" si="2"/>
        <v/>
      </c>
      <c r="J32" s="10" t="str">
        <f t="shared" si="1"/>
        <v/>
      </c>
      <c r="K32" s="11"/>
      <c r="L32" s="11"/>
      <c r="M32" s="11"/>
      <c r="N32" s="12"/>
    </row>
    <row r="33" spans="1:14" x14ac:dyDescent="0.3">
      <c r="A33" s="8"/>
      <c r="B33" s="9"/>
      <c r="C33" s="9"/>
      <c r="D33" s="9"/>
      <c r="E33" s="9"/>
      <c r="F33" s="9"/>
      <c r="G33" s="9"/>
      <c r="H33" s="9"/>
      <c r="I33" s="10" t="str">
        <f t="shared" si="2"/>
        <v/>
      </c>
      <c r="J33" s="10" t="str">
        <f t="shared" si="1"/>
        <v/>
      </c>
      <c r="K33" s="11"/>
      <c r="L33" s="11"/>
      <c r="M33" s="11"/>
      <c r="N33" s="12"/>
    </row>
    <row r="34" spans="1:14" x14ac:dyDescent="0.3">
      <c r="A34" s="8"/>
      <c r="B34" s="9"/>
      <c r="C34" s="9"/>
      <c r="D34" s="9"/>
      <c r="E34" s="9"/>
      <c r="F34" s="9"/>
      <c r="G34" s="9"/>
      <c r="H34" s="9"/>
      <c r="I34" s="10" t="str">
        <f t="shared" si="2"/>
        <v/>
      </c>
      <c r="J34" s="10" t="str">
        <f t="shared" si="1"/>
        <v/>
      </c>
      <c r="K34" s="11"/>
      <c r="L34" s="11"/>
      <c r="M34" s="11"/>
      <c r="N34" s="12"/>
    </row>
    <row r="35" spans="1:14" x14ac:dyDescent="0.3">
      <c r="A35" s="8"/>
      <c r="B35" s="9"/>
      <c r="C35" s="9"/>
      <c r="D35" s="9"/>
      <c r="E35" s="9"/>
      <c r="F35" s="9"/>
      <c r="G35" s="9"/>
      <c r="H35" s="9"/>
      <c r="I35" s="10" t="str">
        <f t="shared" si="2"/>
        <v/>
      </c>
      <c r="J35" s="10" t="str">
        <f t="shared" si="1"/>
        <v/>
      </c>
      <c r="K35" s="11"/>
      <c r="L35" s="11"/>
      <c r="M35" s="11"/>
      <c r="N35" s="12"/>
    </row>
    <row r="36" spans="1:14" x14ac:dyDescent="0.3">
      <c r="A36" s="8"/>
      <c r="B36" s="9"/>
      <c r="C36" s="9"/>
      <c r="D36" s="9"/>
      <c r="E36" s="9"/>
      <c r="F36" s="9"/>
      <c r="G36" s="9"/>
      <c r="H36" s="9"/>
      <c r="I36" s="10" t="str">
        <f t="shared" si="2"/>
        <v/>
      </c>
      <c r="J36" s="10" t="str">
        <f t="shared" si="1"/>
        <v/>
      </c>
      <c r="K36" s="11"/>
      <c r="L36" s="11"/>
      <c r="M36" s="11"/>
      <c r="N36" s="12"/>
    </row>
    <row r="37" spans="1:14" x14ac:dyDescent="0.3">
      <c r="A37" s="8"/>
      <c r="B37" s="9"/>
      <c r="C37" s="9"/>
      <c r="D37" s="9"/>
      <c r="E37" s="9"/>
      <c r="F37" s="9"/>
      <c r="G37" s="9"/>
      <c r="H37" s="9"/>
      <c r="I37" s="10" t="str">
        <f t="shared" si="2"/>
        <v/>
      </c>
      <c r="J37" s="10" t="str">
        <f t="shared" si="1"/>
        <v/>
      </c>
      <c r="K37" s="11"/>
      <c r="L37" s="11"/>
      <c r="M37" s="11"/>
      <c r="N37" s="12"/>
    </row>
    <row r="38" spans="1:14" x14ac:dyDescent="0.3">
      <c r="A38" s="8"/>
      <c r="B38" s="9"/>
      <c r="C38" s="9"/>
      <c r="D38" s="9"/>
      <c r="E38" s="9"/>
      <c r="F38" s="9"/>
      <c r="G38" s="9"/>
      <c r="H38" s="9"/>
      <c r="I38" s="10" t="str">
        <f t="shared" si="2"/>
        <v/>
      </c>
      <c r="J38" s="10" t="str">
        <f t="shared" si="1"/>
        <v/>
      </c>
      <c r="K38" s="11"/>
      <c r="L38" s="11"/>
      <c r="M38" s="11"/>
      <c r="N38" s="12"/>
    </row>
    <row r="39" spans="1:14" x14ac:dyDescent="0.3">
      <c r="A39" s="8"/>
      <c r="B39" s="9"/>
      <c r="C39" s="9"/>
      <c r="D39" s="9"/>
      <c r="E39" s="9"/>
      <c r="F39" s="9"/>
      <c r="G39" s="9"/>
      <c r="H39" s="9"/>
      <c r="I39" s="10" t="str">
        <f t="shared" si="2"/>
        <v/>
      </c>
      <c r="J39" s="10" t="str">
        <f t="shared" si="1"/>
        <v/>
      </c>
      <c r="K39" s="11"/>
      <c r="L39" s="11"/>
      <c r="M39" s="11"/>
      <c r="N39" s="12"/>
    </row>
    <row r="40" spans="1:14" x14ac:dyDescent="0.3">
      <c r="A40" s="8"/>
      <c r="B40" s="9"/>
      <c r="C40" s="9"/>
      <c r="D40" s="9"/>
      <c r="E40" s="9"/>
      <c r="F40" s="9"/>
      <c r="G40" s="9"/>
      <c r="H40" s="9"/>
      <c r="I40" s="10" t="str">
        <f t="shared" si="2"/>
        <v/>
      </c>
      <c r="J40" s="10" t="str">
        <f t="shared" si="1"/>
        <v/>
      </c>
      <c r="K40" s="11"/>
      <c r="L40" s="11"/>
      <c r="M40" s="11"/>
      <c r="N40" s="12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2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2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2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2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2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2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2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2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2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2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2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2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2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2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2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2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2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2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2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2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2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2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2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2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2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2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2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2"/>
        <v/>
      </c>
      <c r="J68" s="15" t="str">
        <f t="shared" ref="J68:J131" si="3">IF(I68="","",1440-I68)</f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2"/>
        <v/>
      </c>
      <c r="J69" s="15" t="str">
        <f t="shared" si="3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si="2"/>
        <v/>
      </c>
      <c r="J70" s="15" t="str">
        <f t="shared" si="3"/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ref="I81:I144" si="4">IF(SUM(B81:F81,H81)=0,"",SUM(B81:F81,H81))</f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4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4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4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4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4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4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4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4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4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4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4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4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4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4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4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4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4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4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4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4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4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4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4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4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4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4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4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4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4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4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4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4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4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4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4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4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4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4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4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4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4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4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4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4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4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4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4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4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4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4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4"/>
        <v/>
      </c>
      <c r="J132" s="15" t="str">
        <f t="shared" ref="J132:J195" si="5">IF(I132="","",1440-I132)</f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4"/>
        <v/>
      </c>
      <c r="J133" s="15" t="str">
        <f t="shared" si="5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si="4"/>
        <v/>
      </c>
      <c r="J134" s="15" t="str">
        <f t="shared" si="5"/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ref="I145:I208" si="6">IF(SUM(B145:F145,H145)=0,"",SUM(B145:F145,H145))</f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6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6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6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6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6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6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6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6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6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6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6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6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6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6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6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6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6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6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6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6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6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6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6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6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6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6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6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6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6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6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6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6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6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6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6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6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6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6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6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6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6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6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6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6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6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6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6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6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6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6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6"/>
        <v/>
      </c>
      <c r="J196" s="15" t="str">
        <f t="shared" ref="J196:J259" si="7">IF(I196="","",1440-I196)</f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6"/>
        <v/>
      </c>
      <c r="J197" s="15" t="str">
        <f t="shared" si="7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si="6"/>
        <v/>
      </c>
      <c r="J198" s="15" t="str">
        <f t="shared" si="7"/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ref="I209:I272" si="8">IF(SUM(B209:F209,H209)=0,"",SUM(B209:F209,H209))</f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8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8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8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8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8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8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8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8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8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8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8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8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8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8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8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8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8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8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8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8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8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8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8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8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8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8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8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8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8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8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8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8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8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8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8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8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8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8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8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8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8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8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8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8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8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8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8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8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8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8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8"/>
        <v/>
      </c>
      <c r="J260" s="15" t="str">
        <f t="shared" ref="J260:J323" si="9">IF(I260="","",1440-I260)</f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8"/>
        <v/>
      </c>
      <c r="J261" s="15" t="str">
        <f t="shared" si="9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si="8"/>
        <v/>
      </c>
      <c r="J262" s="15" t="str">
        <f t="shared" si="9"/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ref="I273:I336" si="10">IF(SUM(B273:F273,H273)=0,"",SUM(B273:F273,H273))</f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10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10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10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10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10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10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10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10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10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10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10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10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10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10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10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10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10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10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10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10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10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10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10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10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10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10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10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10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10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10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10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10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10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10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10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10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10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10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10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10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10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10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10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10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10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10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10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10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10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10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10"/>
        <v/>
      </c>
      <c r="J324" s="15" t="str">
        <f t="shared" ref="J324:J387" si="11">IF(I324="","",1440-I324)</f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10"/>
        <v/>
      </c>
      <c r="J325" s="15" t="str">
        <f t="shared" si="11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si="10"/>
        <v/>
      </c>
      <c r="J326" s="15" t="str">
        <f t="shared" si="11"/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ref="I337:I399" si="12">IF(SUM(B337:F337,H337)=0,"",SUM(B337:F337,H337))</f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2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2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2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2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2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2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2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2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2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2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2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2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2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2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2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2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2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2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2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2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2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2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2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2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2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2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2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2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2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2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2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2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2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2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2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2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2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2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2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2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2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2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2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2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2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2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2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2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2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2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2"/>
        <v/>
      </c>
      <c r="J388" s="15" t="str">
        <f t="shared" ref="J388:J399" si="13">IF(I388="","",1440-I388)</f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2"/>
        <v/>
      </c>
      <c r="J389" s="15" t="str">
        <f t="shared" si="13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si="12"/>
        <v/>
      </c>
      <c r="J390" s="15" t="str">
        <f t="shared" si="13"/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399">
    <cfRule type="cellIs" dxfId="0" priority="3" operator="lessThan">
      <formula>0</formula>
    </cfRule>
  </conditionalFormatting>
  <dataValidations count="3">
    <dataValidation type="list" allowBlank="1" error="Please choose a value from the dropdown list." prompt="Select today's overall feeling" sqref="K6:K399" xr:uid="{00000000-0002-0000-0100-000000000000}">
      <formula1>"Excellent,Good,Neutral,Low,Stressed"</formula1>
      <formula2>0</formula2>
    </dataValidation>
    <dataValidation type="list" allowBlank="1" prompt="Select today's satisfaction level" sqref="L6:L399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399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HP</cp:lastModifiedBy>
  <cp:revision>0</cp:revision>
  <dcterms:created xsi:type="dcterms:W3CDTF">2026-07-24T11:49:30Z</dcterms:created>
  <dcterms:modified xsi:type="dcterms:W3CDTF">2026-09-09T19:41:50Z</dcterms:modified>
  <dc:language>en-US</dc:language>
</cp:coreProperties>
</file>